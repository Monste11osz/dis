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ходные" sheetId="1" r:id="rId1"/>
    <sheet name="Площади" sheetId="2" r:id="rId2"/>
    <sheet name="Бюджет" sheetId="3" r:id="rId3"/>
    <sheet name="Двери" sheetId="4" r:id="rId4"/>
    <sheet name="Сценарии" sheetId="5" r:id="rId5"/>
  </sheets>
  <definedNames>
    <definedName name="_xlnm.Print_Area" localSheetId="2">Бюджет!$A$1:$D$25</definedName>
    <definedName name="_xlnm.Print_Area" localSheetId="3">Двери!$A$1:$F$27</definedName>
    <definedName name="_xlnm.Print_Area" localSheetId="0">Исходные!$A$1:$D$40</definedName>
    <definedName name="_xlnm.Print_Area" localSheetId="1">Площади!$A$1:$D$39</definedName>
    <definedName name="_xlnm.Print_Area" localSheetId="4">Сценарии!$A$1:$G$29</definedName>
    <definedName name="_xlnm.Print_Titles" localSheetId="2">Бюджет!$1:$4</definedName>
    <definedName name="_xlnm.Print_Titles" localSheetId="3">Двери!$1:$4</definedName>
    <definedName name="_xlnm.Print_Titles" localSheetId="0">Исходные!$1:$4</definedName>
    <definedName name="_xlnm.Print_Titles" localSheetId="1">Площади!$1:$4</definedName>
    <definedName name="_xlnm.Print_Titles" localSheetId="4">Сценарии!$1:$4</definedName>
  </definedNames>
  <calcPr calcId="124519" fullCalcOnLoad="1"/>
</workbook>
</file>

<file path=xl/sharedStrings.xml><?xml version="1.0" encoding="utf-8"?>
<sst xmlns="http://schemas.openxmlformats.org/spreadsheetml/2006/main" count="325" uniqueCount="241">
  <si>
    <t>Исходные данные</t>
  </si>
  <si>
    <t>Астана · ЖК «Санды-кала 2» · собственное проживание одного человека</t>
  </si>
  <si>
    <t>СИНИЕ ЯЧЕЙКИ — можно менять  ·  тёмные числа — формулы  ·  размеры и стоимости требуют проверки</t>
  </si>
  <si>
    <t>Параметр</t>
  </si>
  <si>
    <t>Значение</t>
  </si>
  <si>
    <t>Единица / статус</t>
  </si>
  <si>
    <t>Источник / пояснение</t>
  </si>
  <si>
    <t>Город</t>
  </si>
  <si>
    <t>подтверждено</t>
  </si>
  <si>
    <t>Сообщение пользователя</t>
  </si>
  <si>
    <t>Астана</t>
  </si>
  <si>
    <t>Жилой комплекс</t>
  </si>
  <si>
    <t>Написание по сообщению пользователя</t>
  </si>
  <si>
    <t>Санды-кала 2</t>
  </si>
  <si>
    <t>Назначение</t>
  </si>
  <si>
    <t>Денежная доходность не является главным критерием</t>
  </si>
  <si>
    <t>Для себя</t>
  </si>
  <si>
    <t>Число жильцов</t>
  </si>
  <si>
    <t>человек</t>
  </si>
  <si>
    <t>Общий бюджет</t>
  </si>
  <si>
    <t>₸</t>
  </si>
  <si>
    <t>Лимит; не рыночная оценка стоимости ремонта</t>
  </si>
  <si>
    <t>Исключение из бюджета</t>
  </si>
  <si>
    <t>Кухонная мебель, основная мебель, свет и текстиль включены в план распределения</t>
  </si>
  <si>
    <t>Крупная техника</t>
  </si>
  <si>
    <t>Условный горизонт сравнения</t>
  </si>
  <si>
    <t>лет</t>
  </si>
  <si>
    <t>Редактируемое допущение для оценки стоимости личного удобства</t>
  </si>
  <si>
    <t>Учётная площадь квартиры</t>
  </si>
  <si>
    <t>м²</t>
  </si>
  <si>
    <t>По техплану; пользователь указал около 41 м²</t>
  </si>
  <si>
    <t>Комната по экспликации</t>
  </si>
  <si>
    <t>Существующая планировка</t>
  </si>
  <si>
    <t>Кухня по экспликации</t>
  </si>
  <si>
    <t>Коридор по экспликации</t>
  </si>
  <si>
    <t>Санузел по экспликации</t>
  </si>
  <si>
    <t>Лоджия: учётная добавка</t>
  </si>
  <si>
    <t>Не равна полной геометрической площади лоджии</t>
  </si>
  <si>
    <t>Лоджия: длина</t>
  </si>
  <si>
    <t>м</t>
  </si>
  <si>
    <t>Геометрическая реконструкция по схеме; проверить обмером</t>
  </si>
  <si>
    <t>Лоджия: ширина</t>
  </si>
  <si>
    <t>Комната: длина основного прямоугольника</t>
  </si>
  <si>
    <t>Предварительная геометрия; отделка и толщина стен не подтверждены</t>
  </si>
  <si>
    <t>Комната: ширина основного прямоугольника</t>
  </si>
  <si>
    <t>Предварительная геометрия</t>
  </si>
  <si>
    <t>Комната: длина вычитаемого участка</t>
  </si>
  <si>
    <t>Вычет из прямоугольника</t>
  </si>
  <si>
    <t>Комната: ширина вычитаемого участка</t>
  </si>
  <si>
    <t>Кухня: длина основного прямоугольника</t>
  </si>
  <si>
    <t>Кухня: ширина основного прямоугольника</t>
  </si>
  <si>
    <t>Кухня: длина вычитаемого участка</t>
  </si>
  <si>
    <t>Кухня: ширина вычитаемого участка</t>
  </si>
  <si>
    <t>Условная длина спальни B/C</t>
  </si>
  <si>
    <t>Для проверки концепции, не монтажный размер</t>
  </si>
  <si>
    <t>Условная толщина новой перегородки</t>
  </si>
  <si>
    <t>Материал и конструкцию нужно определить; стеклянная система может иметь другую толщину</t>
  </si>
  <si>
    <t>Исходная высота</t>
  </si>
  <si>
    <t>мм</t>
  </si>
  <si>
    <t>По техплану и сообщению пользователя; проверить, от каких поверхностей измерена</t>
  </si>
  <si>
    <t>Пирог пола для базового расчёта</t>
  </si>
  <si>
    <t>Условно от несущей плиты; проверить существующие слои</t>
  </si>
  <si>
    <t>Опуск потолка для базового расчёта</t>
  </si>
  <si>
    <t>Условно от низа перекрытия; проверить инженерные трассы</t>
  </si>
  <si>
    <t>Высота дверного полотна</t>
  </si>
  <si>
    <t>Пожелание пользователя</t>
  </si>
  <si>
    <t>Высота условного строительного проёма</t>
  </si>
  <si>
    <t>НЕ задание строителям. Реальный размер — только по монтажной карте производителя</t>
  </si>
  <si>
    <t>Условная заполняемость для аренды</t>
  </si>
  <si>
    <t>доля года</t>
  </si>
  <si>
    <t>Иллюстрация; данные рынка Астаны не исследованы</t>
  </si>
  <si>
    <t>Условные дополнительные расходы</t>
  </si>
  <si>
    <t>₸/мес</t>
  </si>
  <si>
    <t>Иллюстрация аренды, в расчёте на календарный месяц</t>
  </si>
  <si>
    <t>Условное дополнительное вложение</t>
  </si>
  <si>
    <t>Только пример для модели аренды; не стоимость предлагаемой перепланировки</t>
  </si>
  <si>
    <t>Минимальная доля резерва</t>
  </si>
  <si>
    <t>доля бюджета</t>
  </si>
  <si>
    <t>Рекомендуемый минимум 10%; резерв не расходуется заранее на улучшения</t>
  </si>
  <si>
    <t>Зафиксировано: 7 млн ₸ без крупной техники. Все размеры до обмера предварительные. Любое изменение источников пересчитывает формулы; остаток бюджета проверяется на листе «Бюджет».</t>
  </si>
  <si>
    <t>Проверка площадей</t>
  </si>
  <si>
    <t>Экспликация и геометрическая реконструкция показаны отдельно. Лоджия не присоединяется к жилой площади.</t>
  </si>
  <si>
    <t>Показатель</t>
  </si>
  <si>
    <t>Площадь / результат</t>
  </si>
  <si>
    <t>Единица</t>
  </si>
  <si>
    <t>Метод и ограничение</t>
  </si>
  <si>
    <t>Комната</t>
  </si>
  <si>
    <t>По экспликации</t>
  </si>
  <si>
    <t>Кухня</t>
  </si>
  <si>
    <t>Коридор</t>
  </si>
  <si>
    <t>Санузел</t>
  </si>
  <si>
    <t>Полезная площадь</t>
  </si>
  <si>
    <t>Сумма четырёх помещений</t>
  </si>
  <si>
    <t>Учётная добавка лоджии</t>
  </si>
  <si>
    <t>Не полная геометрическая площадь лоджии</t>
  </si>
  <si>
    <t>Площадь с учётной добавкой</t>
  </si>
  <si>
    <t>38,8 + 1,9</t>
  </si>
  <si>
    <t>Контрольная площадь техплана</t>
  </si>
  <si>
    <t>Для сверки</t>
  </si>
  <si>
    <t>Расхождение учётной площади</t>
  </si>
  <si>
    <t>Должно быть 0 при текущих исходных данных</t>
  </si>
  <si>
    <t>Комната — по размерам</t>
  </si>
  <si>
    <t>6,94 × 3,10 − 2,51 × 0,41; округляется до 20,5 м²</t>
  </si>
  <si>
    <t>Кухня — по размерам</t>
  </si>
  <si>
    <t>3,14 × 3,31 − 0,78 × 1,94; округляется до 8,9 м²</t>
  </si>
  <si>
    <t>Лоджия — геометрическая площадь</t>
  </si>
  <si>
    <t>3,14 × 1,21; не добавлять к отапливаемой площади</t>
  </si>
  <si>
    <t>Отношение учётной добавки к геометрии</t>
  </si>
  <si>
    <t>доля</t>
  </si>
  <si>
    <t>Около 0,5; арифметическое отношение, не подтверждение нормативного коэффициента</t>
  </si>
  <si>
    <t>Спальня B/C — условная</t>
  </si>
  <si>
    <t>3,00 × 3,10; предварительно, без проверки конструкции и отделки</t>
  </si>
  <si>
    <t>След новой перегородки</t>
  </si>
  <si>
    <t>0,10 × 3,10; условная модель непрерывной стены</t>
  </si>
  <si>
    <t>Оставшаяся гостиная</t>
  </si>
  <si>
    <t>Площадь комнаты минус спальня и след перегородки</t>
  </si>
  <si>
    <t>Общая зона: кухня + гостиная</t>
  </si>
  <si>
    <t>Арифметическая сумма; допустимость объединения ещё не подтверждена</t>
  </si>
  <si>
    <t>Контроль спальня + стена + общая зона</t>
  </si>
  <si>
    <t>Совпадает с комнатой и кухней по размерам</t>
  </si>
  <si>
    <t>Баланс реконструкции</t>
  </si>
  <si>
    <t>Должен быть 0; это проверка модели, не проверка возможности строительства</t>
  </si>
  <si>
    <t>Геометрия по размерам</t>
  </si>
  <si>
    <t>Условное деление комнаты на спальню и гостиную</t>
  </si>
  <si>
    <t>Точность четырёх знаков показывает арифметику, а не точность обмера. Линии стен, проёмы, конструкция перегородок и слои отделки предварительные. Площадь после реального монтажа уточняется; одинаковая геометрия B/C здесь нужна только для сравнения.</t>
  </si>
  <si>
    <t>Проходы: расчёт по наружному корпусу кровати</t>
  </si>
  <si>
    <t>Наружная ширина корпуса кровати</t>
  </si>
  <si>
    <t>Условный корпус для матраса1600×2000мм; уточнить выбранную модель мебели.</t>
  </si>
  <si>
    <t>Наружная длина корпуса кровати</t>
  </si>
  <si>
    <t>Боковой проход при центре кровати</t>
  </si>
  <si>
    <t>До штор, радиатора, ручек и местных выступов; размер не является монтажным заданием.</t>
  </si>
  <si>
    <t>Проход у ног</t>
  </si>
  <si>
    <t>Условное открытие кухня–гостиная</t>
  </si>
  <si>
    <t>Ширина600мм по бокам относится к проходу вдоль корпуса. Прикроватные полки могут локально занять часть пространства у изголовья. Проверить фактическую мебель, окно и штору.</t>
  </si>
  <si>
    <t>План распределения 7 млн ₸</t>
  </si>
  <si>
    <t>НЕ рыночная смета. Лимиты для запроса предложений; крупная техника исключена.</t>
  </si>
  <si>
    <t>Статья</t>
  </si>
  <si>
    <t>Лимит</t>
  </si>
  <si>
    <t>Доля бюджета</t>
  </si>
  <si>
    <t>Комплектность и принцип распределения</t>
  </si>
  <si>
    <t>Обмеры, проект, доставка и организация</t>
  </si>
  <si>
    <t>Включить все сопутствующие расходы. Комплектность проекта уточняется.</t>
  </si>
  <si>
    <t>Подготовка и отделка пола, стен, потолков</t>
  </si>
  <si>
    <t>Материалы, расходники и работа; без изменения несущих конструкций.</t>
  </si>
  <si>
    <t>Санузел, сантехника и разводка</t>
  </si>
  <si>
    <t>Оборудование, материалы и работа; действительная цена — после обмера и предложений.</t>
  </si>
  <si>
    <t>Электрика и освещение</t>
  </si>
  <si>
    <t>Материалы, светильники и монтаж; проверить выделенную мощность.</t>
  </si>
  <si>
    <t>Двери 2600 мм и перегородки / стекло</t>
  </si>
  <si>
    <t>Общий лимит. Не подтверждает рыночную стоимость высоких дверей или системы C.</t>
  </si>
  <si>
    <t>Кухонная мебель и столешница</t>
  </si>
  <si>
    <t>Без крупной техники. Состав и фурнитура — после коммерческого предложения.</t>
  </si>
  <si>
    <t>Основная мебель и хранение</t>
  </si>
  <si>
    <t>Кровать, диван / кресло, стол, шкафы; итоговый состав зависит от планировки.</t>
  </si>
  <si>
    <t>Текстиль и небольшой декор</t>
  </si>
  <si>
    <t>Шторы, в том числе для варианта C, и необходимые предметы.</t>
  </si>
  <si>
    <t>Вентиляция / подготовка кондиционирования</t>
  </si>
  <si>
    <t>Состав оборудования и монтажа не подтверждён; не обещает готовую систему за этот лимит.</t>
  </si>
  <si>
    <t>Неприкосновенный резерв — минимум 10%</t>
  </si>
  <si>
    <t>Не тратить заранее на желаемые улучшения. Доля задаётся в исходных данных.</t>
  </si>
  <si>
    <t>Всего распределено</t>
  </si>
  <si>
    <t>Формула пересчитывается при изменении исходных данных.</t>
  </si>
  <si>
    <t>Общий лимит пользователя</t>
  </si>
  <si>
    <t>Остаток бюджета (= лимит − распределено)</t>
  </si>
  <si>
    <t>Отрицательный остаток означает превышение бюджета.</t>
  </si>
  <si>
    <t>Расходы без резерва</t>
  </si>
  <si>
    <t>Доля резерва от бюджета</t>
  </si>
  <si>
    <t>Минимальная цель — 10%.</t>
  </si>
  <si>
    <t>Сначала получить предложения по инженерии, санузлу, кухне и высоким дверям. Перераспределять статьи можно, но итог не должен превышать 7 млн ₸, а резерв — уменьшаться ниже 700 тыс. ₸ при текущем бюджете.</t>
  </si>
  <si>
    <t>A: экономию на перегородке оставить резервом или направить на хранение после договоров по обязательным работам. B/C: стоимость перегородки и дверей должна войти в лимиты; её фактическая достаточность пока не подтверждена.</t>
  </si>
  <si>
    <t>Все цены здесь — выбранные плановые суммы, а не прайс подрядчика. Проверить, что предложения включают материалы, расходники, работу, доставку, подъём, вывоз и необходимые налоги. Не суммировать эту таблицу с условными инвестициями листа «Сценарии».</t>
  </si>
  <si>
    <t>Двери с полотном 2600 мм</t>
  </si>
  <si>
    <t>Базовый расчёт: 3000 − 60 − 80 = 2860 мм чистой высоты. Проём 2640 мм — исключительно условный.</t>
  </si>
  <si>
    <t>Значение, мм</t>
  </si>
  <si>
    <t>Статус</t>
  </si>
  <si>
    <t>Примечание</t>
  </si>
  <si>
    <t>исходное</t>
  </si>
  <si>
    <t>Подтвердить поверхности, между которыми измерена высота.</t>
  </si>
  <si>
    <t>Подъём пола</t>
  </si>
  <si>
    <t>допущение</t>
  </si>
  <si>
    <t>От несущей плиты до чистого пола.</t>
  </si>
  <si>
    <t>Опуск потолка</t>
  </si>
  <si>
    <t>От низа перекрытия до чистого потолка.</t>
  </si>
  <si>
    <t>Расчётная чистая высота</t>
  </si>
  <si>
    <t>расчёт</t>
  </si>
  <si>
    <t>Не является подтверждённым натурным размером.</t>
  </si>
  <si>
    <t>пожелание</t>
  </si>
  <si>
    <t>Санузел и спальня B/C; между кухней и гостиной дверь не требуется.</t>
  </si>
  <si>
    <t>Условная высота строительного проёма</t>
  </si>
  <si>
    <t>НЕ монтажный размер</t>
  </si>
  <si>
    <t>Точный проём — по монтажной карте выбранной системы.</t>
  </si>
  <si>
    <t>Над полотном до чистого потолка</t>
  </si>
  <si>
    <t>геометрия</t>
  </si>
  <si>
    <t>Не подтверждает наличие места для перемычки и потолочного узла.</t>
  </si>
  <si>
    <t>Над условным проёмом до потолка</t>
  </si>
  <si>
    <t>Не подтверждает возможность изменения существующего проёма.</t>
  </si>
  <si>
    <t>Верх условного проёма от плиты пола</t>
  </si>
  <si>
    <t>Только при подтверждённой базе отметок и пироге пола.</t>
  </si>
  <si>
    <t>Проверка нескольких вариантов пола и потолка</t>
  </si>
  <si>
    <t>Сценарий</t>
  </si>
  <si>
    <t>Пол, мм</t>
  </si>
  <si>
    <t>Потолок, мм</t>
  </si>
  <si>
    <t>Чистая высота</t>
  </si>
  <si>
    <t>Над полотном</t>
  </si>
  <si>
    <t>Над усл. проёмом</t>
  </si>
  <si>
    <t>Минимальные трассы</t>
  </si>
  <si>
    <t>Базовая модель</t>
  </si>
  <si>
    <t>Значительное опускание</t>
  </si>
  <si>
    <t>Альтернативный узел</t>
  </si>
  <si>
    <t>Если 3000 мм уже измерены между чистыми поверхностями, существующие слои повторно не вычитать. Обмерить высоты и перемычки в каждом проёме до заказа дверей.</t>
  </si>
  <si>
    <t>Нельзя резать железобетон или поднимать перемычку по этой таблице. Нужны подтверждение типа стен, инженерный узел и монтажная карта производителя. Усиление, крепления и петли зависят от массы и конструкции двери.</t>
  </si>
  <si>
    <t>В A необходимость полотен в существующих проёмах кухни/комнаты определять по допустимости открытого решения. В B/C — двери в санузел и спальню. Для C стекло и фурнитура подбираются в составе безопасной системы; штора не обеспечивает звукоизоляцию.</t>
  </si>
  <si>
    <t>Цена личного удобства</t>
  </si>
  <si>
    <t>Для одного жильца главный критерий — удобство. Сценарии ниже условные и не являются обещанием доходности.</t>
  </si>
  <si>
    <t>Условная доплата</t>
  </si>
  <si>
    <t>Вложение, ₸</t>
  </si>
  <si>
    <t>Горизонт, лет</t>
  </si>
  <si>
    <t>Горизонт, мес</t>
  </si>
  <si>
    <t>Стоимость / мес</t>
  </si>
  <si>
    <t>Небольшая доплата</t>
  </si>
  <si>
    <t>Распределение затрат на срок проживания; не доход и не окупаемость.</t>
  </si>
  <si>
    <t>Средняя доплата</t>
  </si>
  <si>
    <t>Большая доплата</t>
  </si>
  <si>
    <t>При горизонте 5 лет доплаты 0,4 / 0,8 / 1,2 млн ₸ соответствуют примерно 6,7 / 13,3 / 20 тыс. ₸ в месяц. Это не цены вариантов A/B/C и не дополнительная сумма поверх утверждённого бюджета: реальную разницу нужно определить сметами.</t>
  </si>
  <si>
    <t>Личная польза: U = 0,25×свет + 0,25×простор + 0,15×хранение + 0,15×рабочее место + 0,10×приватность + 0,05×гибкость + 0,05×соответствие бюджету. Оценки 1–5 выставляются после проверки планов; веса предложены для одного жильца.</t>
  </si>
  <si>
    <t>A — отправная точка без перепланировки; C — компромисс света и возможности закрыть кровать шторой; B — при выраженной потребности в закрытой спальне. Допустимость, безопасность и бюджет — обязательные условия, баллами их компенсировать нельзя.</t>
  </si>
  <si>
    <t>Вторично: условная аренда, если назначение квартиры когда-нибудь изменится</t>
  </si>
  <si>
    <t>ИСКУССТВЕННЫЕ СЦЕНАРИИ. Ставки аренды и цены сделок в Астане не исследованы. Предполагается одинаковая заполняемость сравниваемых квартир. Кредит, дисконтирование и дополнительные налоги не учтены.</t>
  </si>
  <si>
    <t>Доп. вложение</t>
  </si>
  <si>
    <t>Δ ставки / мес</t>
  </si>
  <si>
    <t>Заполняемость</t>
  </si>
  <si>
    <t>Δ поток / мес</t>
  </si>
  <si>
    <t>Δ поток / год</t>
  </si>
  <si>
    <t>Простая окуп., лет</t>
  </si>
  <si>
    <t>Низкая условная премия</t>
  </si>
  <si>
    <t>Средняя условная премия</t>
  </si>
  <si>
    <t>Высокая условная премия</t>
  </si>
  <si>
    <t>Требуемая премия ставки для заданного горизонта</t>
  </si>
  <si>
    <t>При текущих условных данных: +25 000 ₸/мес для простого возврата вложения за 5 лет. Это математический порог, не прогноз рыночной надбавки.</t>
  </si>
  <si>
    <t>Формула аренды при одинаковой заполняемости: ΔCFгод = 12 × (ΔR × O − ΔCмес). При разных O сравнивать 12 × [(Rевро × Oевро − R1к × O1к) − ΔCмес]. Простая окупаемость применима только при положительном дополнительном потоке.</t>
  </si>
  <si>
    <t>Для перепродажи: дополнительная прибыль = премия цены продажи − дополнительные вложения − дополнительные расходы, налоги и стоимость времени. Отдельную премию за двери 2600 мм без рыночных данных обещать нельзя.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</si>
</sst>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#,##0.00"/>
    <numFmt numFmtId="166" formatCode="0.0%"/>
    <numFmt numFmtId="167" formatCode="0.0000"/>
    <numFmt numFmtId="168" formatCode="#,##0&quot; ₸&quot;"/>
    <numFmt numFmtId="169" formatCode="0.0"/>
  </numFmts>
  <fonts count="11">
    <font>
      <sz val="11"/>
      <color theme="1"/>
      <name val="Calibri"/>
      <family val="2"/>
      <scheme val="minor"/>
    </font>
    <font>
      <b/>
      <sz val="21"/>
      <color rgb="FFFFFFFF"/>
      <name val="Aptos"/>
      <family val="2"/>
    </font>
    <font>
      <sz val="11"/>
      <color rgb="FF627483"/>
      <name val="Aptos"/>
      <family val="2"/>
    </font>
    <font>
      <sz val="10"/>
      <color rgb="FF1D4ED8"/>
      <name val="Aptos"/>
      <family val="2"/>
    </font>
    <font>
      <b/>
      <sz val="11"/>
      <color rgb="FFFFFFFF"/>
      <name val="Aptos"/>
      <family val="2"/>
    </font>
    <font>
      <sz val="11"/>
      <color rgb="FF243644"/>
      <name val="Aptos"/>
      <family val="2"/>
    </font>
    <font>
      <sz val="11"/>
      <color rgb="FF1D4ED8"/>
      <name val="Aptos"/>
      <family val="2"/>
    </font>
    <font>
      <sz val="10"/>
      <color rgb="FF627483"/>
      <name val="Aptos"/>
      <family val="2"/>
    </font>
    <font>
      <sz val="10"/>
      <color rgb="FF243644"/>
      <name val="Aptos"/>
      <family val="2"/>
    </font>
    <font>
      <b/>
      <sz val="11"/>
      <color rgb="FF243644"/>
      <name val="Aptos"/>
      <family val="2"/>
    </font>
    <font>
      <b/>
      <sz val="12"/>
      <color rgb="FF243644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73042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176B6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EE5"/>
        <bgColor indexed="64"/>
      </patternFill>
    </fill>
    <fill>
      <patternFill patternType="solid">
        <fgColor rgb="FFE5F1EE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7DFE3"/>
      </left>
      <right style="thin">
        <color rgb="FFD7DFE3"/>
      </right>
      <top style="thin">
        <color rgb="FFD7DFE3"/>
      </top>
      <bottom style="thin">
        <color rgb="FFD7DFE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vertical="center" wrapText="1"/>
    </xf>
    <xf numFmtId="165" fontId="6" fillId="3" borderId="2" xfId="0" applyNumberFormat="1" applyFont="1" applyFill="1" applyBorder="1" applyAlignment="1">
      <alignment vertical="center" wrapText="1"/>
    </xf>
    <xf numFmtId="166" fontId="6" fillId="3" borderId="2" xfId="0" applyNumberFormat="1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167" fontId="5" fillId="0" borderId="2" xfId="0" applyNumberFormat="1" applyFont="1" applyBorder="1" applyAlignment="1">
      <alignment vertical="center" wrapText="1"/>
    </xf>
    <xf numFmtId="165" fontId="9" fillId="7" borderId="2" xfId="0" applyNumberFormat="1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168" fontId="6" fillId="3" borderId="2" xfId="0" applyNumberFormat="1" applyFont="1" applyFill="1" applyBorder="1" applyAlignment="1">
      <alignment vertical="center" wrapText="1"/>
    </xf>
    <xf numFmtId="166" fontId="5" fillId="0" borderId="2" xfId="0" applyNumberFormat="1" applyFont="1" applyBorder="1" applyAlignment="1">
      <alignment vertical="center" wrapText="1"/>
    </xf>
    <xf numFmtId="168" fontId="9" fillId="7" borderId="2" xfId="0" applyNumberFormat="1" applyFont="1" applyFill="1" applyBorder="1" applyAlignment="1">
      <alignment vertical="center" wrapText="1"/>
    </xf>
    <xf numFmtId="164" fontId="5" fillId="0" borderId="2" xfId="0" applyNumberFormat="1" applyFont="1" applyBorder="1" applyAlignment="1">
      <alignment vertical="center" wrapText="1"/>
    </xf>
    <xf numFmtId="169" fontId="5" fillId="0" borderId="2" xfId="0" applyNumberFormat="1" applyFont="1" applyBorder="1" applyAlignment="1">
      <alignment vertical="center" wrapText="1"/>
    </xf>
    <xf numFmtId="168" fontId="5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2">
    <dxf>
      <font>
        <color rgb="FF9C2525"/>
      </font>
      <numFmt numFmtId="168" formatCode="#,##0&quot; ₸&quot;"/>
      <fill>
        <patternFill>
          <bgColor rgb="FFFCE9E9"/>
        </patternFill>
      </fill>
      <border>
        <left style="thin">
          <color rgb="FFD7DFE3"/>
        </left>
        <right style="thin">
          <color rgb="FFD7DFE3"/>
        </right>
        <top style="thin">
          <color rgb="FFD7DFE3"/>
        </top>
        <bottom style="thin">
          <color rgb="FFD7DFE3"/>
        </bottom>
        <vertical/>
        <horizontal/>
      </border>
    </dxf>
    <dxf>
      <font>
        <color rgb="FF176B69"/>
      </font>
      <numFmt numFmtId="168" formatCode="#,##0&quot; ₸&quot;"/>
      <fill>
        <patternFill>
          <bgColor rgb="FFE5F1EE"/>
        </patternFill>
      </fill>
      <border>
        <left style="thin">
          <color rgb="FFD7DFE3"/>
        </left>
        <right style="thin">
          <color rgb="FFD7DFE3"/>
        </right>
        <top style="thin">
          <color rgb="FFD7DFE3"/>
        </top>
        <bottom style="thin">
          <color rgb="FFD7DFE3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76B69"/>
    <pageSetUpPr fitToPage="1"/>
  </sheetPr>
  <dimension ref="A1:D40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51.7109375" customWidth="1"/>
    <col min="2" max="2" width="20.7109375" customWidth="1"/>
    <col min="3" max="3" width="18.7109375" customWidth="1"/>
    <col min="4" max="4" width="70.7109375" customWidth="1"/>
  </cols>
  <sheetData>
    <row r="1" spans="1:4" ht="40" customHeight="1">
      <c r="A1" s="1" t="s">
        <v>0</v>
      </c>
      <c r="B1" s="1"/>
      <c r="C1" s="1"/>
      <c r="D1" s="1"/>
    </row>
    <row r="2" spans="1:4" ht="35" customHeight="1">
      <c r="A2" s="2" t="s">
        <v>1</v>
      </c>
      <c r="B2" s="2"/>
      <c r="C2" s="2"/>
      <c r="D2" s="2"/>
    </row>
    <row r="3" spans="1:4" ht="27" customHeight="1">
      <c r="A3" s="3" t="s">
        <v>2</v>
      </c>
      <c r="B3" s="3"/>
      <c r="C3" s="3"/>
      <c r="D3" s="3"/>
    </row>
    <row r="4" spans="1:4" ht="32" customHeight="1">
      <c r="A4" s="4" t="s">
        <v>3</v>
      </c>
      <c r="B4" s="4" t="s">
        <v>4</v>
      </c>
      <c r="C4" s="4" t="s">
        <v>5</v>
      </c>
      <c r="D4" s="4" t="s">
        <v>6</v>
      </c>
    </row>
    <row r="5" spans="1:4" ht="33" customHeight="1">
      <c r="A5" s="5" t="s">
        <v>7</v>
      </c>
      <c r="B5" s="6" t="s">
        <v>10</v>
      </c>
      <c r="C5" s="7" t="s">
        <v>8</v>
      </c>
      <c r="D5" s="7" t="s">
        <v>9</v>
      </c>
    </row>
    <row r="6" spans="1:4" ht="33" customHeight="1">
      <c r="A6" s="5" t="s">
        <v>11</v>
      </c>
      <c r="B6" s="6" t="s">
        <v>13</v>
      </c>
      <c r="C6" s="7" t="s">
        <v>8</v>
      </c>
      <c r="D6" s="7" t="s">
        <v>12</v>
      </c>
    </row>
    <row r="7" spans="1:4" ht="33" customHeight="1">
      <c r="A7" s="5" t="s">
        <v>14</v>
      </c>
      <c r="B7" s="6" t="s">
        <v>16</v>
      </c>
      <c r="C7" s="7" t="s">
        <v>8</v>
      </c>
      <c r="D7" s="7" t="s">
        <v>15</v>
      </c>
    </row>
    <row r="8" spans="1:4" ht="33" customHeight="1">
      <c r="A8" s="5" t="s">
        <v>17</v>
      </c>
      <c r="B8" s="8">
        <v>1</v>
      </c>
      <c r="C8" s="7" t="s">
        <v>18</v>
      </c>
      <c r="D8" s="7" t="s">
        <v>9</v>
      </c>
    </row>
    <row r="9" spans="1:4" ht="33" customHeight="1">
      <c r="A9" s="5" t="s">
        <v>19</v>
      </c>
      <c r="B9" s="8">
        <v>7000000</v>
      </c>
      <c r="C9" s="7" t="s">
        <v>20</v>
      </c>
      <c r="D9" s="7" t="s">
        <v>21</v>
      </c>
    </row>
    <row r="10" spans="1:4" ht="46" customHeight="1">
      <c r="A10" s="5" t="s">
        <v>22</v>
      </c>
      <c r="B10" s="6" t="s">
        <v>24</v>
      </c>
      <c r="C10" s="7" t="s">
        <v>8</v>
      </c>
      <c r="D10" s="7" t="s">
        <v>23</v>
      </c>
    </row>
    <row r="11" spans="1:4" ht="33" customHeight="1">
      <c r="A11" s="5" t="s">
        <v>25</v>
      </c>
      <c r="B11" s="8">
        <v>5</v>
      </c>
      <c r="C11" s="7" t="s">
        <v>26</v>
      </c>
      <c r="D11" s="7" t="s">
        <v>27</v>
      </c>
    </row>
    <row r="12" spans="1:4" ht="33" customHeight="1">
      <c r="A12" s="5" t="s">
        <v>28</v>
      </c>
      <c r="B12" s="9">
        <v>40.7</v>
      </c>
      <c r="C12" s="7" t="s">
        <v>29</v>
      </c>
      <c r="D12" s="7" t="s">
        <v>30</v>
      </c>
    </row>
    <row r="13" spans="1:4" ht="33" customHeight="1">
      <c r="A13" s="5" t="s">
        <v>31</v>
      </c>
      <c r="B13" s="9">
        <v>20.5</v>
      </c>
      <c r="C13" s="7" t="s">
        <v>29</v>
      </c>
      <c r="D13" s="7" t="s">
        <v>32</v>
      </c>
    </row>
    <row r="14" spans="1:4" ht="33" customHeight="1">
      <c r="A14" s="5" t="s">
        <v>33</v>
      </c>
      <c r="B14" s="9">
        <v>8.9</v>
      </c>
      <c r="C14" s="7" t="s">
        <v>29</v>
      </c>
      <c r="D14" s="7" t="s">
        <v>32</v>
      </c>
    </row>
    <row r="15" spans="1:4" ht="33" customHeight="1">
      <c r="A15" s="5" t="s">
        <v>34</v>
      </c>
      <c r="B15" s="9">
        <v>4.3</v>
      </c>
      <c r="C15" s="7" t="s">
        <v>29</v>
      </c>
      <c r="D15" s="7" t="s">
        <v>32</v>
      </c>
    </row>
    <row r="16" spans="1:4" ht="33" customHeight="1">
      <c r="A16" s="5" t="s">
        <v>35</v>
      </c>
      <c r="B16" s="9">
        <v>5.1</v>
      </c>
      <c r="C16" s="7" t="s">
        <v>29</v>
      </c>
      <c r="D16" s="7" t="s">
        <v>32</v>
      </c>
    </row>
    <row r="17" spans="1:4" ht="33" customHeight="1">
      <c r="A17" s="5" t="s">
        <v>36</v>
      </c>
      <c r="B17" s="9">
        <v>1.9</v>
      </c>
      <c r="C17" s="7" t="s">
        <v>29</v>
      </c>
      <c r="D17" s="7" t="s">
        <v>37</v>
      </c>
    </row>
    <row r="18" spans="1:4" ht="33" customHeight="1">
      <c r="A18" s="5" t="s">
        <v>38</v>
      </c>
      <c r="B18" s="9">
        <v>3.14</v>
      </c>
      <c r="C18" s="7" t="s">
        <v>39</v>
      </c>
      <c r="D18" s="7" t="s">
        <v>40</v>
      </c>
    </row>
    <row r="19" spans="1:4" ht="33" customHeight="1">
      <c r="A19" s="5" t="s">
        <v>41</v>
      </c>
      <c r="B19" s="9">
        <v>1.21</v>
      </c>
      <c r="C19" s="7" t="s">
        <v>39</v>
      </c>
      <c r="D19" s="7" t="s">
        <v>40</v>
      </c>
    </row>
    <row r="20" spans="1:4" ht="46" customHeight="1">
      <c r="A20" s="5" t="s">
        <v>42</v>
      </c>
      <c r="B20" s="9">
        <v>6.94</v>
      </c>
      <c r="C20" s="7" t="s">
        <v>39</v>
      </c>
      <c r="D20" s="7" t="s">
        <v>43</v>
      </c>
    </row>
    <row r="21" spans="1:4" ht="33" customHeight="1">
      <c r="A21" s="5" t="s">
        <v>44</v>
      </c>
      <c r="B21" s="9">
        <v>3.1</v>
      </c>
      <c r="C21" s="7" t="s">
        <v>39</v>
      </c>
      <c r="D21" s="7" t="s">
        <v>45</v>
      </c>
    </row>
    <row r="22" spans="1:4" ht="33" customHeight="1">
      <c r="A22" s="5" t="s">
        <v>46</v>
      </c>
      <c r="B22" s="9">
        <v>2.51</v>
      </c>
      <c r="C22" s="7" t="s">
        <v>39</v>
      </c>
      <c r="D22" s="7" t="s">
        <v>47</v>
      </c>
    </row>
    <row r="23" spans="1:4" ht="33" customHeight="1">
      <c r="A23" s="5" t="s">
        <v>48</v>
      </c>
      <c r="B23" s="9">
        <v>0.41</v>
      </c>
      <c r="C23" s="7" t="s">
        <v>39</v>
      </c>
      <c r="D23" s="7" t="s">
        <v>47</v>
      </c>
    </row>
    <row r="24" spans="1:4" ht="33" customHeight="1">
      <c r="A24" s="5" t="s">
        <v>49</v>
      </c>
      <c r="B24" s="9">
        <v>3.14</v>
      </c>
      <c r="C24" s="7" t="s">
        <v>39</v>
      </c>
      <c r="D24" s="7" t="s">
        <v>45</v>
      </c>
    </row>
    <row r="25" spans="1:4" ht="33" customHeight="1">
      <c r="A25" s="5" t="s">
        <v>50</v>
      </c>
      <c r="B25" s="9">
        <v>3.31</v>
      </c>
      <c r="C25" s="7" t="s">
        <v>39</v>
      </c>
      <c r="D25" s="7" t="s">
        <v>45</v>
      </c>
    </row>
    <row r="26" spans="1:4" ht="33" customHeight="1">
      <c r="A26" s="5" t="s">
        <v>51</v>
      </c>
      <c r="B26" s="9">
        <v>0.78</v>
      </c>
      <c r="C26" s="7" t="s">
        <v>39</v>
      </c>
      <c r="D26" s="7" t="s">
        <v>47</v>
      </c>
    </row>
    <row r="27" spans="1:4" ht="33" customHeight="1">
      <c r="A27" s="5" t="s">
        <v>52</v>
      </c>
      <c r="B27" s="9">
        <v>1.94</v>
      </c>
      <c r="C27" s="7" t="s">
        <v>39</v>
      </c>
      <c r="D27" s="7" t="s">
        <v>47</v>
      </c>
    </row>
    <row r="28" spans="1:4" ht="33" customHeight="1">
      <c r="A28" s="5" t="s">
        <v>53</v>
      </c>
      <c r="B28" s="9">
        <v>3</v>
      </c>
      <c r="C28" s="7" t="s">
        <v>39</v>
      </c>
      <c r="D28" s="7" t="s">
        <v>54</v>
      </c>
    </row>
    <row r="29" spans="1:4" ht="46" customHeight="1">
      <c r="A29" s="5" t="s">
        <v>55</v>
      </c>
      <c r="B29" s="9">
        <v>0.1</v>
      </c>
      <c r="C29" s="7" t="s">
        <v>39</v>
      </c>
      <c r="D29" s="7" t="s">
        <v>56</v>
      </c>
    </row>
    <row r="30" spans="1:4" ht="46" customHeight="1">
      <c r="A30" s="5" t="s">
        <v>57</v>
      </c>
      <c r="B30" s="8">
        <v>3000</v>
      </c>
      <c r="C30" s="7" t="s">
        <v>58</v>
      </c>
      <c r="D30" s="7" t="s">
        <v>59</v>
      </c>
    </row>
    <row r="31" spans="1:4" ht="33" customHeight="1">
      <c r="A31" s="5" t="s">
        <v>60</v>
      </c>
      <c r="B31" s="8">
        <v>60</v>
      </c>
      <c r="C31" s="7" t="s">
        <v>58</v>
      </c>
      <c r="D31" s="7" t="s">
        <v>61</v>
      </c>
    </row>
    <row r="32" spans="1:4" ht="33" customHeight="1">
      <c r="A32" s="5" t="s">
        <v>62</v>
      </c>
      <c r="B32" s="8">
        <v>80</v>
      </c>
      <c r="C32" s="7" t="s">
        <v>58</v>
      </c>
      <c r="D32" s="7" t="s">
        <v>63</v>
      </c>
    </row>
    <row r="33" spans="1:4" ht="33" customHeight="1">
      <c r="A33" s="5" t="s">
        <v>64</v>
      </c>
      <c r="B33" s="8">
        <v>2600</v>
      </c>
      <c r="C33" s="7" t="s">
        <v>58</v>
      </c>
      <c r="D33" s="7" t="s">
        <v>65</v>
      </c>
    </row>
    <row r="34" spans="1:4" ht="46" customHeight="1">
      <c r="A34" s="5" t="s">
        <v>66</v>
      </c>
      <c r="B34" s="8">
        <v>2640</v>
      </c>
      <c r="C34" s="7" t="s">
        <v>58</v>
      </c>
      <c r="D34" s="7" t="s">
        <v>67</v>
      </c>
    </row>
    <row r="35" spans="1:4" ht="33" customHeight="1">
      <c r="A35" s="5" t="s">
        <v>68</v>
      </c>
      <c r="B35" s="10">
        <v>0.92</v>
      </c>
      <c r="C35" s="7" t="s">
        <v>69</v>
      </c>
      <c r="D35" s="7" t="s">
        <v>70</v>
      </c>
    </row>
    <row r="36" spans="1:4" ht="33" customHeight="1">
      <c r="A36" s="5" t="s">
        <v>71</v>
      </c>
      <c r="B36" s="8">
        <v>3000</v>
      </c>
      <c r="C36" s="7" t="s">
        <v>72</v>
      </c>
      <c r="D36" s="7" t="s">
        <v>73</v>
      </c>
    </row>
    <row r="37" spans="1:4" ht="46" customHeight="1">
      <c r="A37" s="5" t="s">
        <v>74</v>
      </c>
      <c r="B37" s="8">
        <v>1200000</v>
      </c>
      <c r="C37" s="7" t="s">
        <v>20</v>
      </c>
      <c r="D37" s="7" t="s">
        <v>75</v>
      </c>
    </row>
    <row r="38" spans="1:4" ht="33" customHeight="1">
      <c r="A38" s="5" t="s">
        <v>76</v>
      </c>
      <c r="B38" s="10">
        <v>0.1</v>
      </c>
      <c r="C38" s="7" t="s">
        <v>77</v>
      </c>
      <c r="D38" s="7" t="s">
        <v>78</v>
      </c>
    </row>
    <row r="40" spans="1:4" ht="48" customHeight="1">
      <c r="A40" s="11" t="s">
        <v>79</v>
      </c>
      <c r="B40" s="11"/>
      <c r="C40" s="11"/>
      <c r="D40" s="11"/>
    </row>
  </sheetData>
  <mergeCells count="4">
    <mergeCell ref="A1:D1"/>
    <mergeCell ref="A2:D2"/>
    <mergeCell ref="A3:D3"/>
    <mergeCell ref="A40:D40"/>
  </mergeCells>
  <dataValidations count="33"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8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9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1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2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3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4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5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6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7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8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9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20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21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22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23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24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25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26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27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28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29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30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31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32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33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34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35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36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37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38">
      <formula1>0</formula1>
    </dataValidation>
    <dataValidation type="decimal" allowBlank="1" showInputMessage="1" showErrorMessage="1" sqref="B35">
      <formula1>0.01</formula1>
      <formula2>1</formula2>
    </dataValidation>
    <dataValidation type="decimal" allowBlank="1" showInputMessage="1" showErrorMessage="1" errorTitle="Резерв не менее 10%" error="Введите долю от 10% до 50%." sqref="B38">
      <formula1>0.1</formula1>
      <formula2>0.5</formula2>
    </dataValidation>
    <dataValidation type="decimal" operator="greaterThan" allowBlank="1" showInputMessage="1" showErrorMessage="1" sqref="B11">
      <formula1>0</formula1>
    </dataValidation>
  </dataValidations>
  <pageMargins left="0.3" right="0.3" top="0.45" bottom="0.45" header="0.3" footer="0.3"/>
  <pageSetup paperSize="9" fitToHeight="0" orientation="landscape"/>
  <headerFooter>
    <oddHeader>&amp;LСанды-кала 2 | Концепция&amp;RПредварительный расчёт</oddHeader>
    <oddFooter>&amp;LНе рабочий проект / не рыночная смета&amp;RСтр.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76B69"/>
    <pageSetUpPr fitToPage="1"/>
  </sheetPr>
  <dimension ref="A1:D3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51.7109375" customWidth="1"/>
    <col min="2" max="2" width="20.7109375" customWidth="1"/>
    <col min="3" max="3" width="18.7109375" customWidth="1"/>
    <col min="4" max="4" width="70.7109375" customWidth="1"/>
  </cols>
  <sheetData>
    <row r="1" spans="1:4" ht="40" customHeight="1">
      <c r="A1" s="1" t="s">
        <v>80</v>
      </c>
      <c r="B1" s="1"/>
      <c r="C1" s="1"/>
      <c r="D1" s="1"/>
    </row>
    <row r="2" spans="1:4" ht="35" customHeight="1">
      <c r="A2" s="2" t="s">
        <v>81</v>
      </c>
      <c r="B2" s="2"/>
      <c r="C2" s="2"/>
      <c r="D2" s="2"/>
    </row>
    <row r="3" spans="1:4" ht="27" customHeight="1">
      <c r="A3" s="3" t="s">
        <v>2</v>
      </c>
      <c r="B3" s="3"/>
      <c r="C3" s="3"/>
      <c r="D3" s="3"/>
    </row>
    <row r="4" spans="1:4" ht="32" customHeight="1">
      <c r="A4" s="4" t="s">
        <v>82</v>
      </c>
      <c r="B4" s="4" t="s">
        <v>83</v>
      </c>
      <c r="C4" s="4" t="s">
        <v>84</v>
      </c>
      <c r="D4" s="4" t="s">
        <v>85</v>
      </c>
    </row>
    <row r="5" spans="1:4" ht="36" customHeight="1">
      <c r="A5" s="5" t="s">
        <v>86</v>
      </c>
      <c r="B5" s="12">
        <f>'Исходные'!B13</f>
        <v>20.5</v>
      </c>
      <c r="C5" s="7" t="s">
        <v>29</v>
      </c>
      <c r="D5" s="7" t="s">
        <v>87</v>
      </c>
    </row>
    <row r="6" spans="1:4" ht="36" customHeight="1">
      <c r="A6" s="5" t="s">
        <v>88</v>
      </c>
      <c r="B6" s="12">
        <f>'Исходные'!B14</f>
        <v>8.9</v>
      </c>
      <c r="C6" s="7" t="s">
        <v>29</v>
      </c>
      <c r="D6" s="7" t="s">
        <v>87</v>
      </c>
    </row>
    <row r="7" spans="1:4" ht="36" customHeight="1">
      <c r="A7" s="5" t="s">
        <v>89</v>
      </c>
      <c r="B7" s="12">
        <f>'Исходные'!B15</f>
        <v>4.3</v>
      </c>
      <c r="C7" s="7" t="s">
        <v>29</v>
      </c>
      <c r="D7" s="7" t="s">
        <v>87</v>
      </c>
    </row>
    <row r="8" spans="1:4" ht="36" customHeight="1">
      <c r="A8" s="5" t="s">
        <v>90</v>
      </c>
      <c r="B8" s="12">
        <f>'Исходные'!B16</f>
        <v>5.1</v>
      </c>
      <c r="C8" s="7" t="s">
        <v>29</v>
      </c>
      <c r="D8" s="7" t="s">
        <v>87</v>
      </c>
    </row>
    <row r="9" spans="1:4" ht="36" customHeight="1">
      <c r="A9" s="5" t="s">
        <v>91</v>
      </c>
      <c r="B9" s="13">
        <f>SUM(B5:B8)</f>
        <v>38.8</v>
      </c>
      <c r="C9" s="7" t="s">
        <v>29</v>
      </c>
      <c r="D9" s="7" t="s">
        <v>92</v>
      </c>
    </row>
    <row r="10" spans="1:4" ht="36" customHeight="1">
      <c r="A10" s="5" t="s">
        <v>93</v>
      </c>
      <c r="B10" s="12">
        <f>'Исходные'!B17</f>
        <v>1.9</v>
      </c>
      <c r="C10" s="7" t="s">
        <v>29</v>
      </c>
      <c r="D10" s="7" t="s">
        <v>94</v>
      </c>
    </row>
    <row r="11" spans="1:4" ht="36" customHeight="1">
      <c r="A11" s="5" t="s">
        <v>95</v>
      </c>
      <c r="B11" s="13">
        <f>B9+B10</f>
        <v>40.7</v>
      </c>
      <c r="C11" s="7" t="s">
        <v>29</v>
      </c>
      <c r="D11" s="7" t="s">
        <v>96</v>
      </c>
    </row>
    <row r="12" spans="1:4" ht="36" customHeight="1">
      <c r="A12" s="5" t="s">
        <v>97</v>
      </c>
      <c r="B12" s="12">
        <f>'Исходные'!B12</f>
        <v>40.7</v>
      </c>
      <c r="C12" s="7" t="s">
        <v>29</v>
      </c>
      <c r="D12" s="7" t="s">
        <v>98</v>
      </c>
    </row>
    <row r="13" spans="1:4" ht="36" customHeight="1">
      <c r="A13" s="5" t="s">
        <v>99</v>
      </c>
      <c r="B13" s="12">
        <f>B11-B12</f>
        <v>0</v>
      </c>
      <c r="C13" s="7" t="s">
        <v>29</v>
      </c>
      <c r="D13" s="7" t="s">
        <v>100</v>
      </c>
    </row>
    <row r="15" spans="1:4" ht="28" customHeight="1">
      <c r="A15" s="14" t="s">
        <v>122</v>
      </c>
      <c r="B15" s="14"/>
      <c r="C15" s="14"/>
      <c r="D15" s="14"/>
    </row>
    <row r="16" spans="1:4" ht="36" customHeight="1">
      <c r="A16" s="5" t="s">
        <v>101</v>
      </c>
      <c r="B16" s="12">
        <f>'Исходные'!B20*'Исходные'!B21-'Исходные'!B22*'Исходные'!B23</f>
        <v>20.4849</v>
      </c>
      <c r="C16" s="7" t="s">
        <v>29</v>
      </c>
      <c r="D16" s="7" t="s">
        <v>102</v>
      </c>
    </row>
    <row r="17" spans="1:4" ht="36" customHeight="1">
      <c r="A17" s="5" t="s">
        <v>103</v>
      </c>
      <c r="B17" s="12">
        <f>'Исходные'!B24*'Исходные'!B25-'Исходные'!B26*'Исходные'!B27</f>
        <v>8.8802</v>
      </c>
      <c r="C17" s="7" t="s">
        <v>29</v>
      </c>
      <c r="D17" s="7" t="s">
        <v>104</v>
      </c>
    </row>
    <row r="18" spans="1:4" ht="36" customHeight="1">
      <c r="A18" s="5" t="s">
        <v>105</v>
      </c>
      <c r="B18" s="12">
        <f>'Исходные'!B18*'Исходные'!B19</f>
        <v>3.7994</v>
      </c>
      <c r="C18" s="7" t="s">
        <v>29</v>
      </c>
      <c r="D18" s="7" t="s">
        <v>106</v>
      </c>
    </row>
    <row r="19" spans="1:4" ht="36" customHeight="1">
      <c r="A19" s="5" t="s">
        <v>107</v>
      </c>
      <c r="B19" s="12">
        <f>B10/B18</f>
        <v>0.5000789598357636</v>
      </c>
      <c r="C19" s="7" t="s">
        <v>108</v>
      </c>
      <c r="D19" s="7" t="s">
        <v>109</v>
      </c>
    </row>
    <row r="21" spans="1:4" ht="28" customHeight="1">
      <c r="A21" s="14" t="s">
        <v>123</v>
      </c>
      <c r="B21" s="14"/>
      <c r="C21" s="14"/>
      <c r="D21" s="14"/>
    </row>
    <row r="22" spans="1:4" ht="36" customHeight="1">
      <c r="A22" s="5" t="s">
        <v>110</v>
      </c>
      <c r="B22" s="12">
        <f>'Исходные'!B28*'Исходные'!B21</f>
        <v>9.3</v>
      </c>
      <c r="C22" s="7" t="s">
        <v>29</v>
      </c>
      <c r="D22" s="7" t="s">
        <v>111</v>
      </c>
    </row>
    <row r="23" spans="1:4" ht="36" customHeight="1">
      <c r="A23" s="5" t="s">
        <v>112</v>
      </c>
      <c r="B23" s="12">
        <f>'Исходные'!B29*'Исходные'!B21</f>
        <v>0.31</v>
      </c>
      <c r="C23" s="7" t="s">
        <v>29</v>
      </c>
      <c r="D23" s="7" t="s">
        <v>113</v>
      </c>
    </row>
    <row r="24" spans="1:4" ht="36" customHeight="1">
      <c r="A24" s="5" t="s">
        <v>114</v>
      </c>
      <c r="B24" s="12">
        <f>B16-B22-B23</f>
        <v>10.8749</v>
      </c>
      <c r="C24" s="7" t="s">
        <v>29</v>
      </c>
      <c r="D24" s="7" t="s">
        <v>115</v>
      </c>
    </row>
    <row r="25" spans="1:4" ht="36" customHeight="1">
      <c r="A25" s="5" t="s">
        <v>116</v>
      </c>
      <c r="B25" s="13">
        <f>B24+B17</f>
        <v>19.7551</v>
      </c>
      <c r="C25" s="7" t="s">
        <v>29</v>
      </c>
      <c r="D25" s="7" t="s">
        <v>117</v>
      </c>
    </row>
    <row r="26" spans="1:4" ht="36" customHeight="1">
      <c r="A26" s="5" t="s">
        <v>118</v>
      </c>
      <c r="B26" s="12">
        <f>B22+B23+B25</f>
        <v>29.3651</v>
      </c>
      <c r="C26" s="7" t="s">
        <v>29</v>
      </c>
      <c r="D26" s="7" t="s">
        <v>119</v>
      </c>
    </row>
    <row r="27" spans="1:4" ht="36" customHeight="1">
      <c r="A27" s="5" t="s">
        <v>120</v>
      </c>
      <c r="B27" s="12">
        <f>B26-(B16+B17)</f>
        <v>0</v>
      </c>
      <c r="C27" s="7" t="s">
        <v>29</v>
      </c>
      <c r="D27" s="7" t="s">
        <v>121</v>
      </c>
    </row>
    <row r="29" spans="1:4" ht="57" customHeight="1">
      <c r="A29" s="11" t="s">
        <v>124</v>
      </c>
      <c r="B29" s="11"/>
      <c r="C29" s="11"/>
      <c r="D29" s="11"/>
    </row>
    <row r="31" spans="1:4" ht="28" customHeight="1">
      <c r="A31" s="14" t="s">
        <v>125</v>
      </c>
      <c r="B31" s="14"/>
      <c r="C31" s="14"/>
      <c r="D31" s="14"/>
    </row>
    <row r="32" spans="1:4" ht="36" customHeight="1">
      <c r="A32" s="5" t="s">
        <v>126</v>
      </c>
      <c r="B32" s="9">
        <v>1.8</v>
      </c>
      <c r="C32" s="7" t="s">
        <v>39</v>
      </c>
      <c r="D32" s="7" t="s">
        <v>127</v>
      </c>
    </row>
    <row r="33" spans="1:4" ht="36" customHeight="1">
      <c r="A33" s="5" t="s">
        <v>128</v>
      </c>
      <c r="B33" s="9">
        <v>2.15</v>
      </c>
      <c r="C33" s="7" t="s">
        <v>39</v>
      </c>
      <c r="D33" s="7" t="s">
        <v>127</v>
      </c>
    </row>
    <row r="35" spans="1:4" ht="36" customHeight="1">
      <c r="A35" s="5" t="s">
        <v>129</v>
      </c>
      <c r="B35" s="12">
        <f>('Исходные'!B28-B32)/2</f>
        <v>0.6</v>
      </c>
      <c r="C35" s="7" t="s">
        <v>39</v>
      </c>
      <c r="D35" s="7" t="s">
        <v>130</v>
      </c>
    </row>
    <row r="36" spans="1:4" ht="36" customHeight="1">
      <c r="A36" s="5" t="s">
        <v>131</v>
      </c>
      <c r="B36" s="12">
        <f>'Исходные'!B21-B33</f>
        <v>0.95</v>
      </c>
      <c r="C36" s="7" t="s">
        <v>39</v>
      </c>
      <c r="D36" s="7" t="s">
        <v>130</v>
      </c>
    </row>
    <row r="37" spans="1:4" ht="36" customHeight="1">
      <c r="A37" s="5" t="s">
        <v>132</v>
      </c>
      <c r="B37" s="12">
        <f>'Исходные'!B20-'Исходные'!B22-'Исходные'!B28-'Исходные'!B29</f>
        <v>1.33</v>
      </c>
      <c r="C37" s="7" t="s">
        <v>39</v>
      </c>
      <c r="D37" s="7" t="s">
        <v>130</v>
      </c>
    </row>
    <row r="39" spans="1:4" ht="48" customHeight="1">
      <c r="A39" s="11" t="s">
        <v>133</v>
      </c>
      <c r="B39" s="11"/>
      <c r="C39" s="11"/>
      <c r="D39" s="11"/>
    </row>
  </sheetData>
  <mergeCells count="8">
    <mergeCell ref="A1:D1"/>
    <mergeCell ref="A2:D2"/>
    <mergeCell ref="A3:D3"/>
    <mergeCell ref="A15:D15"/>
    <mergeCell ref="A21:D21"/>
    <mergeCell ref="A29:D29"/>
    <mergeCell ref="A31:D31"/>
    <mergeCell ref="A39:D39"/>
  </mergeCells>
  <dataValidations count="2"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32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33">
      <formula1>0</formula1>
    </dataValidation>
  </dataValidations>
  <pageMargins left="0.3" right="0.3" top="0.45" bottom="0.45" header="0.3" footer="0.3"/>
  <pageSetup paperSize="9" fitToHeight="0" orientation="landscape"/>
  <headerFooter>
    <oddHeader>&amp;LСанды-кала 2 | Концепция&amp;RПредварительный расчёт</oddHeader>
    <oddFooter>&amp;LНе рабочий проект / не рыночная смета&amp;RСтр. 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76B69"/>
    <pageSetUpPr fitToPage="1"/>
  </sheetPr>
  <dimension ref="A1:D2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51.7109375" customWidth="1"/>
    <col min="2" max="2" width="20.7109375" customWidth="1"/>
    <col min="3" max="3" width="18.7109375" customWidth="1"/>
    <col min="4" max="4" width="70.7109375" customWidth="1"/>
  </cols>
  <sheetData>
    <row r="1" spans="1:4" ht="40" customHeight="1">
      <c r="A1" s="1" t="s">
        <v>134</v>
      </c>
      <c r="B1" s="1"/>
      <c r="C1" s="1"/>
      <c r="D1" s="1"/>
    </row>
    <row r="2" spans="1:4" ht="35" customHeight="1">
      <c r="A2" s="2" t="s">
        <v>135</v>
      </c>
      <c r="B2" s="2"/>
      <c r="C2" s="2"/>
      <c r="D2" s="2"/>
    </row>
    <row r="3" spans="1:4" ht="27" customHeight="1">
      <c r="A3" s="3" t="s">
        <v>2</v>
      </c>
      <c r="B3" s="3"/>
      <c r="C3" s="3"/>
      <c r="D3" s="3"/>
    </row>
    <row r="4" spans="1:4" ht="32" customHeight="1">
      <c r="A4" s="4" t="s">
        <v>136</v>
      </c>
      <c r="B4" s="4" t="s">
        <v>137</v>
      </c>
      <c r="C4" s="4" t="s">
        <v>138</v>
      </c>
      <c r="D4" s="4" t="s">
        <v>139</v>
      </c>
    </row>
    <row r="5" spans="1:4" ht="44" customHeight="1">
      <c r="A5" s="5" t="s">
        <v>140</v>
      </c>
      <c r="B5" s="15">
        <v>250000</v>
      </c>
      <c r="C5" s="16">
        <f>B5/'Исходные'!$B$9</f>
        <v>0.03571428571428571</v>
      </c>
      <c r="D5" s="7" t="s">
        <v>141</v>
      </c>
    </row>
    <row r="6" spans="1:4" ht="44" customHeight="1">
      <c r="A6" s="5" t="s">
        <v>142</v>
      </c>
      <c r="B6" s="15">
        <v>1500000</v>
      </c>
      <c r="C6" s="16">
        <f>B6/'Исходные'!$B$9</f>
        <v>0.21428571428571427</v>
      </c>
      <c r="D6" s="7" t="s">
        <v>143</v>
      </c>
    </row>
    <row r="7" spans="1:4" ht="44" customHeight="1">
      <c r="A7" s="5" t="s">
        <v>144</v>
      </c>
      <c r="B7" s="15">
        <v>900000</v>
      </c>
      <c r="C7" s="16">
        <f>B7/'Исходные'!$B$9</f>
        <v>0.12857142857142856</v>
      </c>
      <c r="D7" s="7" t="s">
        <v>145</v>
      </c>
    </row>
    <row r="8" spans="1:4" ht="44" customHeight="1">
      <c r="A8" s="5" t="s">
        <v>146</v>
      </c>
      <c r="B8" s="15">
        <v>600000</v>
      </c>
      <c r="C8" s="16">
        <f>B8/'Исходные'!$B$9</f>
        <v>0.08571428571428572</v>
      </c>
      <c r="D8" s="7" t="s">
        <v>147</v>
      </c>
    </row>
    <row r="9" spans="1:4" ht="44" customHeight="1">
      <c r="A9" s="5" t="s">
        <v>148</v>
      </c>
      <c r="B9" s="15">
        <v>650000</v>
      </c>
      <c r="C9" s="16">
        <f>B9/'Исходные'!$B$9</f>
        <v>0.09285714285714286</v>
      </c>
      <c r="D9" s="7" t="s">
        <v>149</v>
      </c>
    </row>
    <row r="10" spans="1:4" ht="44" customHeight="1">
      <c r="A10" s="5" t="s">
        <v>150</v>
      </c>
      <c r="B10" s="15">
        <v>1050000</v>
      </c>
      <c r="C10" s="16">
        <f>B10/'Исходные'!$B$9</f>
        <v>0.15</v>
      </c>
      <c r="D10" s="7" t="s">
        <v>151</v>
      </c>
    </row>
    <row r="11" spans="1:4" ht="44" customHeight="1">
      <c r="A11" s="5" t="s">
        <v>152</v>
      </c>
      <c r="B11" s="15">
        <v>850000</v>
      </c>
      <c r="C11" s="16">
        <f>B11/'Исходные'!$B$9</f>
        <v>0.12142857142857143</v>
      </c>
      <c r="D11" s="7" t="s">
        <v>153</v>
      </c>
    </row>
    <row r="12" spans="1:4" ht="44" customHeight="1">
      <c r="A12" s="5" t="s">
        <v>154</v>
      </c>
      <c r="B12" s="15">
        <v>200000</v>
      </c>
      <c r="C12" s="16">
        <f>B12/'Исходные'!$B$9</f>
        <v>0.02857142857142857</v>
      </c>
      <c r="D12" s="7" t="s">
        <v>155</v>
      </c>
    </row>
    <row r="13" spans="1:4" ht="44" customHeight="1">
      <c r="A13" s="5" t="s">
        <v>156</v>
      </c>
      <c r="B13" s="15">
        <v>300000</v>
      </c>
      <c r="C13" s="16">
        <f>B13/'Исходные'!$B$9</f>
        <v>0.04285714285714286</v>
      </c>
      <c r="D13" s="7" t="s">
        <v>157</v>
      </c>
    </row>
    <row r="14" spans="1:4" ht="44" customHeight="1">
      <c r="A14" s="5" t="s">
        <v>158</v>
      </c>
      <c r="B14" s="17">
        <f>'Исходные'!B9*'Исходные'!B38</f>
        <v>700000</v>
      </c>
      <c r="C14" s="16">
        <f>B14/'Исходные'!B9</f>
        <v>0.1</v>
      </c>
      <c r="D14" s="7" t="s">
        <v>159</v>
      </c>
    </row>
    <row r="15" spans="1:4" ht="33" customHeight="1">
      <c r="A15" s="5" t="s">
        <v>160</v>
      </c>
      <c r="B15" s="17">
        <f>SUM(B5:B14)</f>
        <v>7000000</v>
      </c>
      <c r="C15" s="7" t="s">
        <v>20</v>
      </c>
      <c r="D15" s="7" t="s">
        <v>161</v>
      </c>
    </row>
    <row r="16" spans="1:4" ht="33" customHeight="1">
      <c r="A16" s="5" t="s">
        <v>162</v>
      </c>
      <c r="B16" s="17">
        <f>'Исходные'!B9</f>
        <v>7000000</v>
      </c>
      <c r="C16" s="7" t="s">
        <v>20</v>
      </c>
      <c r="D16" s="7" t="s">
        <v>161</v>
      </c>
    </row>
    <row r="17" spans="1:4" ht="33" customHeight="1">
      <c r="A17" s="5" t="s">
        <v>163</v>
      </c>
      <c r="B17" s="17">
        <f>B16-B15</f>
        <v>0</v>
      </c>
      <c r="C17" s="7" t="s">
        <v>20</v>
      </c>
      <c r="D17" s="7" t="s">
        <v>164</v>
      </c>
    </row>
    <row r="18" spans="1:4">
      <c r="A18" s="5" t="s">
        <v>166</v>
      </c>
      <c r="B18" s="16">
        <f>B14/B16</f>
        <v>0.1</v>
      </c>
      <c r="C18" s="7" t="s">
        <v>108</v>
      </c>
      <c r="D18" s="7" t="s">
        <v>167</v>
      </c>
    </row>
    <row r="19" spans="1:4" ht="33" customHeight="1">
      <c r="A19" s="5" t="s">
        <v>165</v>
      </c>
      <c r="B19" s="17">
        <f>SUM(B5:B13)</f>
        <v>6300000</v>
      </c>
      <c r="C19" s="7" t="s">
        <v>20</v>
      </c>
      <c r="D19" s="7" t="s">
        <v>161</v>
      </c>
    </row>
    <row r="21" spans="1:4" ht="46" customHeight="1">
      <c r="A21" s="11" t="s">
        <v>168</v>
      </c>
      <c r="B21" s="11"/>
      <c r="C21" s="11"/>
      <c r="D21" s="11"/>
    </row>
    <row r="23" spans="1:4" ht="46" customHeight="1">
      <c r="A23" s="11" t="s">
        <v>169</v>
      </c>
      <c r="B23" s="11"/>
      <c r="C23" s="11"/>
      <c r="D23" s="11"/>
    </row>
    <row r="25" spans="1:4" ht="55" customHeight="1">
      <c r="A25" s="11" t="s">
        <v>170</v>
      </c>
      <c r="B25" s="11"/>
      <c r="C25" s="11"/>
      <c r="D25" s="11"/>
    </row>
  </sheetData>
  <mergeCells count="6">
    <mergeCell ref="A1:D1"/>
    <mergeCell ref="A2:D2"/>
    <mergeCell ref="A3:D3"/>
    <mergeCell ref="A21:D21"/>
    <mergeCell ref="A23:D23"/>
    <mergeCell ref="A25:D25"/>
  </mergeCells>
  <conditionalFormatting sqref="B17">
    <cfRule type="cellIs" dxfId="0" priority="1" operator="lessThan">
      <formula>0</formula>
    </cfRule>
    <cfRule type="cellIs" dxfId="1" priority="2" operator="greaterThanOrEqual">
      <formula>0</formula>
    </cfRule>
  </conditionalFormatting>
  <dataValidations count="9"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5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6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7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8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9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0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1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2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3">
      <formula1>0</formula1>
    </dataValidation>
  </dataValidations>
  <pageMargins left="0.3" right="0.3" top="0.45" bottom="0.45" header="0.3" footer="0.3"/>
  <pageSetup paperSize="9" fitToHeight="0" orientation="landscape"/>
  <headerFooter>
    <oddHeader>&amp;LСанды-кала 2 | Концепция&amp;RПредварительный расчёт</oddHeader>
    <oddFooter>&amp;LНе рабочий проект / не рыночная смета&amp;RСтр. 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76B69"/>
    <pageSetUpPr fitToPage="1"/>
  </sheetPr>
  <dimension ref="A1:F2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7.7109375" customWidth="1"/>
    <col min="2" max="6" width="18.7109375" customWidth="1"/>
    <col min="7" max="7" width="20.7109375" customWidth="1"/>
  </cols>
  <sheetData>
    <row r="1" spans="1:6" ht="40" customHeight="1">
      <c r="A1" s="1" t="s">
        <v>171</v>
      </c>
      <c r="B1" s="1"/>
      <c r="C1" s="1"/>
      <c r="D1" s="1"/>
      <c r="E1" s="1"/>
      <c r="F1" s="1"/>
    </row>
    <row r="2" spans="1:6" ht="35" customHeight="1">
      <c r="A2" s="2" t="s">
        <v>172</v>
      </c>
      <c r="B2" s="2"/>
      <c r="C2" s="2"/>
      <c r="D2" s="2"/>
      <c r="E2" s="2"/>
      <c r="F2" s="2"/>
    </row>
    <row r="3" spans="1:6" ht="27" customHeight="1">
      <c r="A3" s="3" t="s">
        <v>2</v>
      </c>
      <c r="B3" s="3"/>
      <c r="C3" s="3"/>
      <c r="D3" s="3"/>
      <c r="E3" s="3"/>
      <c r="F3" s="3"/>
    </row>
    <row r="4" spans="1:6" ht="32" customHeight="1">
      <c r="A4" s="4" t="s">
        <v>3</v>
      </c>
      <c r="B4" s="4" t="s">
        <v>173</v>
      </c>
      <c r="C4" s="4" t="s">
        <v>174</v>
      </c>
      <c r="D4" s="4" t="s">
        <v>175</v>
      </c>
      <c r="E4" s="4"/>
      <c r="F4" s="4"/>
    </row>
    <row r="5" spans="1:6" ht="42" customHeight="1">
      <c r="A5" s="5" t="s">
        <v>57</v>
      </c>
      <c r="B5" s="18">
        <f>'Исходные'!B30</f>
        <v>3000</v>
      </c>
      <c r="C5" s="7" t="s">
        <v>176</v>
      </c>
      <c r="D5" s="7" t="s">
        <v>177</v>
      </c>
      <c r="E5" s="7"/>
      <c r="F5" s="7"/>
    </row>
    <row r="6" spans="1:6" ht="42" customHeight="1">
      <c r="A6" s="5" t="s">
        <v>178</v>
      </c>
      <c r="B6" s="18">
        <f>'Исходные'!B31</f>
        <v>60</v>
      </c>
      <c r="C6" s="7" t="s">
        <v>179</v>
      </c>
      <c r="D6" s="7" t="s">
        <v>180</v>
      </c>
      <c r="E6" s="7"/>
      <c r="F6" s="7"/>
    </row>
    <row r="7" spans="1:6" ht="42" customHeight="1">
      <c r="A7" s="5" t="s">
        <v>181</v>
      </c>
      <c r="B7" s="18">
        <f>'Исходные'!B32</f>
        <v>80</v>
      </c>
      <c r="C7" s="7" t="s">
        <v>179</v>
      </c>
      <c r="D7" s="7" t="s">
        <v>182</v>
      </c>
      <c r="E7" s="7"/>
      <c r="F7" s="7"/>
    </row>
    <row r="8" spans="1:6" ht="42" customHeight="1">
      <c r="A8" s="5" t="s">
        <v>183</v>
      </c>
      <c r="B8" s="18">
        <f>B5-B6-B7</f>
        <v>2860</v>
      </c>
      <c r="C8" s="7" t="s">
        <v>184</v>
      </c>
      <c r="D8" s="7" t="s">
        <v>185</v>
      </c>
      <c r="E8" s="7"/>
      <c r="F8" s="7"/>
    </row>
    <row r="9" spans="1:6" ht="42" customHeight="1">
      <c r="A9" s="5" t="s">
        <v>64</v>
      </c>
      <c r="B9" s="18">
        <f>'Исходные'!B33</f>
        <v>2600</v>
      </c>
      <c r="C9" s="7" t="s">
        <v>186</v>
      </c>
      <c r="D9" s="7" t="s">
        <v>187</v>
      </c>
      <c r="E9" s="7"/>
      <c r="F9" s="7"/>
    </row>
    <row r="10" spans="1:6" ht="42" customHeight="1">
      <c r="A10" s="5" t="s">
        <v>188</v>
      </c>
      <c r="B10" s="18">
        <f>'Исходные'!B34</f>
        <v>2640</v>
      </c>
      <c r="C10" s="7" t="s">
        <v>189</v>
      </c>
      <c r="D10" s="7" t="s">
        <v>190</v>
      </c>
      <c r="E10" s="7"/>
      <c r="F10" s="7"/>
    </row>
    <row r="11" spans="1:6" ht="42" customHeight="1">
      <c r="A11" s="5" t="s">
        <v>191</v>
      </c>
      <c r="B11" s="18">
        <f>B8-B9</f>
        <v>260</v>
      </c>
      <c r="C11" s="7" t="s">
        <v>192</v>
      </c>
      <c r="D11" s="7" t="s">
        <v>193</v>
      </c>
      <c r="E11" s="7"/>
      <c r="F11" s="7"/>
    </row>
    <row r="12" spans="1:6" ht="42" customHeight="1">
      <c r="A12" s="5" t="s">
        <v>194</v>
      </c>
      <c r="B12" s="18">
        <f>B8-B10</f>
        <v>220</v>
      </c>
      <c r="C12" s="7" t="s">
        <v>192</v>
      </c>
      <c r="D12" s="7" t="s">
        <v>195</v>
      </c>
      <c r="E12" s="7"/>
      <c r="F12" s="7"/>
    </row>
    <row r="13" spans="1:6" ht="42" customHeight="1">
      <c r="A13" s="5" t="s">
        <v>196</v>
      </c>
      <c r="B13" s="18">
        <f>B10+B6</f>
        <v>2700</v>
      </c>
      <c r="C13" s="7" t="s">
        <v>184</v>
      </c>
      <c r="D13" s="7" t="s">
        <v>197</v>
      </c>
      <c r="E13" s="7"/>
      <c r="F13" s="7"/>
    </row>
    <row r="16" spans="1:6" ht="28" customHeight="1">
      <c r="A16" s="14" t="s">
        <v>198</v>
      </c>
      <c r="B16" s="14"/>
      <c r="C16" s="14"/>
      <c r="D16" s="14"/>
      <c r="E16" s="14"/>
      <c r="F16" s="14"/>
    </row>
    <row r="17" spans="1:6" ht="32" customHeight="1">
      <c r="A17" s="4" t="s">
        <v>199</v>
      </c>
      <c r="B17" s="4" t="s">
        <v>200</v>
      </c>
      <c r="C17" s="4" t="s">
        <v>201</v>
      </c>
      <c r="D17" s="4" t="s">
        <v>202</v>
      </c>
      <c r="E17" s="4" t="s">
        <v>203</v>
      </c>
      <c r="F17" s="4" t="s">
        <v>204</v>
      </c>
    </row>
    <row r="18" spans="1:6" ht="32" customHeight="1">
      <c r="A18" s="5" t="s">
        <v>205</v>
      </c>
      <c r="B18" s="8">
        <v>60</v>
      </c>
      <c r="C18" s="8">
        <v>50</v>
      </c>
      <c r="D18" s="18">
        <f>'Исходные'!$B$30-B18-C18</f>
        <v>2890</v>
      </c>
      <c r="E18" s="18">
        <f>D18-'Исходные'!$B$33</f>
        <v>290</v>
      </c>
      <c r="F18" s="18">
        <f>D18-'Исходные'!$B$34</f>
        <v>250</v>
      </c>
    </row>
    <row r="19" spans="1:6" ht="32" customHeight="1">
      <c r="A19" s="5" t="s">
        <v>206</v>
      </c>
      <c r="B19" s="18">
        <f>'Исходные'!B31</f>
        <v>60</v>
      </c>
      <c r="C19" s="18">
        <f>'Исходные'!B32</f>
        <v>80</v>
      </c>
      <c r="D19" s="18">
        <f>'Исходные'!$B$30-B19-C19</f>
        <v>2860</v>
      </c>
      <c r="E19" s="18">
        <f>D19-'Исходные'!$B$33</f>
        <v>260</v>
      </c>
      <c r="F19" s="18">
        <f>D19-'Исходные'!$B$34</f>
        <v>220</v>
      </c>
    </row>
    <row r="20" spans="1:6" ht="32" customHeight="1">
      <c r="A20" s="5" t="s">
        <v>207</v>
      </c>
      <c r="B20" s="8">
        <v>120</v>
      </c>
      <c r="C20" s="8">
        <v>150</v>
      </c>
      <c r="D20" s="18">
        <f>'Исходные'!$B$30-B20-C20</f>
        <v>2730</v>
      </c>
      <c r="E20" s="18">
        <f>D20-'Исходные'!$B$33</f>
        <v>130</v>
      </c>
      <c r="F20" s="18">
        <f>D20-'Исходные'!$B$34</f>
        <v>90</v>
      </c>
    </row>
    <row r="21" spans="1:6" ht="32" customHeight="1">
      <c r="A21" s="5" t="s">
        <v>208</v>
      </c>
      <c r="B21" s="8">
        <v>90</v>
      </c>
      <c r="C21" s="8">
        <v>90</v>
      </c>
      <c r="D21" s="18">
        <f>'Исходные'!$B$30-B21-C21</f>
        <v>2820</v>
      </c>
      <c r="E21" s="18">
        <f>D21-'Исходные'!$B$33</f>
        <v>220</v>
      </c>
      <c r="F21" s="18">
        <f>D21-'Исходные'!$B$34</f>
        <v>180</v>
      </c>
    </row>
    <row r="23" spans="1:6" ht="44" customHeight="1">
      <c r="A23" s="11" t="s">
        <v>209</v>
      </c>
      <c r="B23" s="11"/>
      <c r="C23" s="11"/>
      <c r="D23" s="11"/>
      <c r="E23" s="11"/>
      <c r="F23" s="11"/>
    </row>
    <row r="25" spans="1:6" ht="53" customHeight="1">
      <c r="A25" s="11" t="s">
        <v>210</v>
      </c>
      <c r="B25" s="11"/>
      <c r="C25" s="11"/>
      <c r="D25" s="11"/>
      <c r="E25" s="11"/>
      <c r="F25" s="11"/>
    </row>
    <row r="27" spans="1:6" ht="56" customHeight="1">
      <c r="A27" s="11" t="s">
        <v>211</v>
      </c>
      <c r="B27" s="11"/>
      <c r="C27" s="11"/>
      <c r="D27" s="11"/>
      <c r="E27" s="11"/>
      <c r="F27" s="11"/>
    </row>
  </sheetData>
  <mergeCells count="16">
    <mergeCell ref="A1:F1"/>
    <mergeCell ref="A2:F2"/>
    <mergeCell ref="A3:F3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A16:F16"/>
    <mergeCell ref="A23:F23"/>
    <mergeCell ref="A25:F25"/>
    <mergeCell ref="A27:F27"/>
  </mergeCells>
  <dataValidations count="6"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18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C18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20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C20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21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C21">
      <formula1>0</formula1>
    </dataValidation>
  </dataValidations>
  <pageMargins left="0.3" right="0.3" top="0.45" bottom="0.45" header="0.3" footer="0.3"/>
  <pageSetup paperSize="9" fitToHeight="0" orientation="landscape"/>
  <headerFooter>
    <oddHeader>&amp;LСанды-кала 2 | Концепция&amp;RПредварительный расчёт</oddHeader>
    <oddFooter>&amp;LНе рабочий проект / не рыночная смета&amp;RСтр. &amp;P из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76B69"/>
    <pageSetUpPr fitToPage="1"/>
  </sheetPr>
  <dimension ref="A1:G2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7.7109375" customWidth="1"/>
    <col min="2" max="6" width="18.7109375" customWidth="1"/>
    <col min="7" max="7" width="20.7109375" customWidth="1"/>
  </cols>
  <sheetData>
    <row r="1" spans="1:7" ht="40" customHeight="1">
      <c r="A1" s="1" t="s">
        <v>212</v>
      </c>
      <c r="B1" s="1"/>
      <c r="C1" s="1"/>
      <c r="D1" s="1"/>
      <c r="E1" s="1"/>
      <c r="F1" s="1"/>
      <c r="G1" s="1"/>
    </row>
    <row r="2" spans="1:7" ht="35" customHeight="1">
      <c r="A2" s="2" t="s">
        <v>213</v>
      </c>
      <c r="B2" s="2"/>
      <c r="C2" s="2"/>
      <c r="D2" s="2"/>
      <c r="E2" s="2"/>
      <c r="F2" s="2"/>
      <c r="G2" s="2"/>
    </row>
    <row r="3" spans="1:7" ht="27" customHeight="1">
      <c r="A3" s="3" t="s">
        <v>2</v>
      </c>
      <c r="B3" s="3"/>
      <c r="C3" s="3"/>
      <c r="D3" s="3"/>
      <c r="E3" s="3"/>
      <c r="F3" s="3"/>
      <c r="G3" s="3"/>
    </row>
    <row r="5" spans="1:7" ht="32" customHeight="1">
      <c r="A5" s="4" t="s">
        <v>214</v>
      </c>
      <c r="B5" s="4" t="s">
        <v>215</v>
      </c>
      <c r="C5" s="4" t="s">
        <v>216</v>
      </c>
      <c r="D5" s="4" t="s">
        <v>217</v>
      </c>
      <c r="E5" s="4" t="s">
        <v>218</v>
      </c>
      <c r="F5" s="4" t="s">
        <v>14</v>
      </c>
      <c r="G5" s="4"/>
    </row>
    <row r="6" spans="1:7" ht="43" customHeight="1">
      <c r="A6" s="5" t="s">
        <v>219</v>
      </c>
      <c r="B6" s="15">
        <v>400000</v>
      </c>
      <c r="C6" s="19">
        <f>'Исходные'!B11</f>
        <v>5</v>
      </c>
      <c r="D6" s="18">
        <f>C6*12</f>
        <v>60</v>
      </c>
      <c r="E6" s="20">
        <f>B6/D6</f>
        <v>6666.666666666667</v>
      </c>
      <c r="F6" s="7" t="s">
        <v>220</v>
      </c>
      <c r="G6" s="7"/>
    </row>
    <row r="7" spans="1:7" ht="43" customHeight="1">
      <c r="A7" s="5" t="s">
        <v>221</v>
      </c>
      <c r="B7" s="15">
        <v>800000</v>
      </c>
      <c r="C7" s="19">
        <f>'Исходные'!B11</f>
        <v>5</v>
      </c>
      <c r="D7" s="18">
        <f>C7*12</f>
        <v>60</v>
      </c>
      <c r="E7" s="20">
        <f>B7/D7</f>
        <v>13333.333333333334</v>
      </c>
      <c r="F7" s="7" t="s">
        <v>220</v>
      </c>
      <c r="G7" s="7"/>
    </row>
    <row r="8" spans="1:7" ht="43" customHeight="1">
      <c r="A8" s="5" t="s">
        <v>222</v>
      </c>
      <c r="B8" s="15">
        <v>1200000</v>
      </c>
      <c r="C8" s="19">
        <f>'Исходные'!B11</f>
        <v>5</v>
      </c>
      <c r="D8" s="18">
        <f>C8*12</f>
        <v>60</v>
      </c>
      <c r="E8" s="20">
        <f>B8/D8</f>
        <v>20000.0</v>
      </c>
      <c r="F8" s="7" t="s">
        <v>220</v>
      </c>
      <c r="G8" s="7"/>
    </row>
    <row r="10" spans="1:7" ht="53" customHeight="1">
      <c r="A10" s="11" t="s">
        <v>223</v>
      </c>
      <c r="B10" s="11"/>
      <c r="C10" s="11"/>
      <c r="D10" s="11"/>
      <c r="E10" s="11"/>
      <c r="F10" s="11"/>
      <c r="G10" s="11"/>
    </row>
    <row r="12" spans="1:7" ht="55" customHeight="1">
      <c r="A12" s="11" t="s">
        <v>224</v>
      </c>
      <c r="B12" s="11"/>
      <c r="C12" s="11"/>
      <c r="D12" s="11"/>
      <c r="E12" s="11"/>
      <c r="F12" s="11"/>
      <c r="G12" s="11"/>
    </row>
    <row r="14" spans="1:7" ht="48" customHeight="1">
      <c r="A14" s="11" t="s">
        <v>225</v>
      </c>
      <c r="B14" s="11"/>
      <c r="C14" s="11"/>
      <c r="D14" s="11"/>
      <c r="E14" s="11"/>
      <c r="F14" s="11"/>
      <c r="G14" s="11"/>
    </row>
    <row r="17" spans="1:7" ht="28" customHeight="1">
      <c r="A17" s="14" t="s">
        <v>226</v>
      </c>
      <c r="B17" s="14"/>
      <c r="C17" s="14"/>
      <c r="D17" s="14"/>
      <c r="E17" s="14"/>
      <c r="F17" s="14"/>
      <c r="G17" s="14"/>
    </row>
    <row r="18" spans="1:7" ht="49" customHeight="1">
      <c r="A18" s="11" t="s">
        <v>227</v>
      </c>
      <c r="B18" s="11"/>
      <c r="C18" s="11"/>
      <c r="D18" s="11"/>
      <c r="E18" s="11"/>
      <c r="F18" s="11"/>
      <c r="G18" s="11"/>
    </row>
    <row r="20" spans="1:7" ht="32" customHeight="1">
      <c r="A20" s="4" t="s">
        <v>199</v>
      </c>
      <c r="B20" s="4" t="s">
        <v>228</v>
      </c>
      <c r="C20" s="4" t="s">
        <v>229</v>
      </c>
      <c r="D20" s="4" t="s">
        <v>230</v>
      </c>
      <c r="E20" s="4" t="s">
        <v>231</v>
      </c>
      <c r="F20" s="4" t="s">
        <v>232</v>
      </c>
      <c r="G20" s="4" t="s">
        <v>233</v>
      </c>
    </row>
    <row r="21" spans="1:7" ht="39" customHeight="1">
      <c r="A21" s="5" t="s">
        <v>234</v>
      </c>
      <c r="B21" s="20">
        <f>'Исходные'!$B$37</f>
        <v>1200000</v>
      </c>
      <c r="C21" s="15">
        <v>10000</v>
      </c>
      <c r="D21" s="16">
        <f>'Исходные'!$B$35</f>
        <v>0.92</v>
      </c>
      <c r="E21" s="20">
        <f>C21*D21-'Исходные'!$B$36</f>
        <v>6200.0</v>
      </c>
      <c r="F21" s="20">
        <f>E21*12</f>
        <v>74400.0</v>
      </c>
      <c r="G21" s="19">
        <f>IF(F21&gt;0,B21/F21,"Нет окупаемости")</f>
        <v>16.129032258064516</v>
      </c>
    </row>
    <row r="22" spans="1:7" ht="39" customHeight="1">
      <c r="A22" s="5" t="s">
        <v>235</v>
      </c>
      <c r="B22" s="20">
        <f>'Исходные'!$B$37</f>
        <v>1200000</v>
      </c>
      <c r="C22" s="15">
        <v>25000</v>
      </c>
      <c r="D22" s="16">
        <f>'Исходные'!$B$35</f>
        <v>0.92</v>
      </c>
      <c r="E22" s="20">
        <f>C22*D22-'Исходные'!$B$36</f>
        <v>20000.0</v>
      </c>
      <c r="F22" s="20">
        <f>E22*12</f>
        <v>240000.0</v>
      </c>
      <c r="G22" s="19">
        <f>IF(F22&gt;0,B22/F22,"Нет окупаемости")</f>
        <v>5.0</v>
      </c>
    </row>
    <row r="23" spans="1:7" ht="39" customHeight="1">
      <c r="A23" s="5" t="s">
        <v>236</v>
      </c>
      <c r="B23" s="20">
        <f>'Исходные'!$B$37</f>
        <v>1200000</v>
      </c>
      <c r="C23" s="15">
        <v>40000</v>
      </c>
      <c r="D23" s="16">
        <f>'Исходные'!$B$35</f>
        <v>0.92</v>
      </c>
      <c r="E23" s="20">
        <f>C23*D23-'Исходные'!$B$36</f>
        <v>33800.0</v>
      </c>
      <c r="F23" s="20">
        <f>E23*12</f>
        <v>405600.0</v>
      </c>
      <c r="G23" s="19">
        <f>IF(F23&gt;0,B23/F23,"Нет окупаемости")</f>
        <v>2.9585798816568047</v>
      </c>
    </row>
    <row r="25" spans="1:7" ht="53" customHeight="1">
      <c r="A25" s="5" t="s">
        <v>237</v>
      </c>
      <c r="B25" s="20">
        <f>('Исходные'!B37/(12*'Исходные'!B11)+'Исходные'!B36)/'Исходные'!B35</f>
        <v>25000</v>
      </c>
      <c r="C25" s="7" t="s">
        <v>238</v>
      </c>
      <c r="D25" s="7"/>
      <c r="E25" s="7"/>
      <c r="F25" s="7"/>
      <c r="G25" s="7"/>
    </row>
    <row r="27" spans="1:7" ht="54" customHeight="1">
      <c r="A27" s="11" t="s">
        <v>239</v>
      </c>
      <c r="B27" s="11"/>
      <c r="C27" s="11"/>
      <c r="D27" s="11"/>
      <c r="E27" s="11"/>
      <c r="F27" s="11"/>
      <c r="G27" s="11"/>
    </row>
    <row r="29" spans="1:7" ht="49" customHeight="1">
      <c r="A29" s="11" t="s">
        <v>240</v>
      </c>
      <c r="B29" s="11"/>
      <c r="C29" s="11"/>
      <c r="D29" s="11"/>
      <c r="E29" s="11"/>
      <c r="F29" s="11"/>
      <c r="G29" s="11"/>
    </row>
  </sheetData>
  <mergeCells count="14">
    <mergeCell ref="A1:G1"/>
    <mergeCell ref="A2:G2"/>
    <mergeCell ref="A3:G3"/>
    <mergeCell ref="F6:G6"/>
    <mergeCell ref="F7:G7"/>
    <mergeCell ref="F8:G8"/>
    <mergeCell ref="A10:G10"/>
    <mergeCell ref="A12:G12"/>
    <mergeCell ref="A14:G14"/>
    <mergeCell ref="A17:G17"/>
    <mergeCell ref="A18:G18"/>
    <mergeCell ref="C25:G25"/>
    <mergeCell ref="A27:G27"/>
    <mergeCell ref="A29:G29"/>
  </mergeCells>
  <dataValidations count="6"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6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7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B8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C21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C22">
      <formula1>0</formula1>
    </dataValidation>
    <dataValidation type="decimal" operator="greaterThanOrEqual" allowBlank="1" showInputMessage="1" showErrorMessage="1" errorTitle="Проверьте число" error="Требуется неотрицательное число." promptTitle="Редактируемый параметр" prompt="Введите неотрицательное число. Проверьте единицы измерения." sqref="C23">
      <formula1>0</formula1>
    </dataValidation>
  </dataValidations>
  <pageMargins left="0.3" right="0.3" top="0.45" bottom="0.45" header="0.3" footer="0.3"/>
  <pageSetup paperSize="9" fitToHeight="0" orientation="landscape"/>
  <headerFooter>
    <oddHeader>&amp;LСанды-кала 2 | Концепция&amp;RПредварительный расчёт</oddHeader>
    <oddFooter>&amp;LНе рабочий проект / не рыночная смета&amp;RСтр.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Исходные</vt:lpstr>
      <vt:lpstr>Площади</vt:lpstr>
      <vt:lpstr>Бюджет</vt:lpstr>
      <vt:lpstr>Двери</vt:lpstr>
      <vt:lpstr>Сценарии</vt:lpstr>
      <vt:lpstr>Бюджет!Print_Area</vt:lpstr>
      <vt:lpstr>Двери!Print_Area</vt:lpstr>
      <vt:lpstr>Исходные!Print_Area</vt:lpstr>
      <vt:lpstr>Площади!Print_Area</vt:lpstr>
      <vt:lpstr>Сценарии!Print_Area</vt:lpstr>
      <vt:lpstr>Бюджет!Print_Titles</vt:lpstr>
      <vt:lpstr>Двери!Print_Titles</vt:lpstr>
      <vt:lpstr>Исходные!Print_Titles</vt:lpstr>
      <vt:lpstr>Площади!Print_Titles</vt:lpstr>
      <vt:lpstr>Сценарии!Print_Titles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Санды-кала 2 — бюджет и расчёты концепции</dc:title>
  <dc:subject>Предварительная планировка и лимиты ремонта</dc:subject>
  <dc:creator>Дизайн-концепция</dc:creator>
  <dc:description>Не рабочий проект и не рыночная смета. Синие ячейки — редактируемые входы.</dc:description>
  <cp:lastModifiedBy>Дизайн-концепция</cp:lastModifiedBy>
  <dcterms:created xsi:type="dcterms:W3CDTF">2026-10-10T16:35:06Z</dcterms:created>
  <dcterms:modified xsi:type="dcterms:W3CDTF">2026-10-10T16:35:06Z</dcterms:modified>
</cp:coreProperties>
</file>