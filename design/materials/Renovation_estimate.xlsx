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" sheetId="1" r:id="rId1"/>
    <sheet name="Покупки" sheetId="2" r:id="rId2"/>
    <sheet name="Итог" sheetId="3" r:id="rId3"/>
    <sheet name="Опции" sheetId="4" r:id="rId4"/>
    <sheet name="Инженерия" sheetId="5" r:id="rId5"/>
    <sheet name="Источники" sheetId="6" r:id="rId6"/>
  </sheets>
  <definedNames>
    <definedName name="_xlnm._FilterDatabase" localSheetId="1" hidden="1">Покупки!$A$4:$M$62</definedName>
    <definedName name="_xlnm.Print_Area" localSheetId="1">Покупки!$A$1:$M$63</definedName>
    <definedName name="_xlnm.Print_Titles" localSheetId="4">Инженерия!$1:$4</definedName>
    <definedName name="_xlnm.Print_Titles" localSheetId="5">Источники!$1:$4</definedName>
    <definedName name="_xlnm.Print_Titles" localSheetId="0">Исходные!$1:$4</definedName>
    <definedName name="_xlnm.Print_Titles" localSheetId="2">Итог!$1:$4</definedName>
    <definedName name="_xlnm.Print_Titles" localSheetId="3">Опции!$1:$4</definedName>
    <definedName name="_xlnm.Print_Titles" localSheetId="1">Покупки!$1:$4</definedName>
  </definedNames>
  <calcPr calcId="124519" fullCalcOnLoad="1"/>
</workbook>
</file>

<file path=xl/sharedStrings.xml><?xml version="1.0" encoding="utf-8"?>
<sst xmlns="http://schemas.openxmlformats.org/spreadsheetml/2006/main" count="500" uniqueCount="312">
  <si>
    <t>Исходные данные и допущения</t>
  </si>
  <si>
    <t>Синие ячейки редактируются. Товарные цены — допущения, не найденные прайсы. Изменение исходных величин пересчитывает связанные строки; фиксированные метражи трасс уточняются вручную.</t>
  </si>
  <si>
    <t>Параметр</t>
  </si>
  <si>
    <t>Значение</t>
  </si>
  <si>
    <t>Единица</t>
  </si>
  <si>
    <t>Основание/ограничение</t>
  </si>
  <si>
    <t>Лимит с резервом</t>
  </si>
  <si>
    <t>₸</t>
  </si>
  <si>
    <t>Без крупной техники</t>
  </si>
  <si>
    <t>Резерв</t>
  </si>
  <si>
    <t>10% лимита; не 10% любой итоговой суммы</t>
  </si>
  <si>
    <t>Площадь для оплаты работы</t>
  </si>
  <si>
    <t>м²</t>
  </si>
  <si>
    <t>Допущение договора; полезная 38,8, учётная 40,7</t>
  </si>
  <si>
    <t>Ставка бригады</t>
  </si>
  <si>
    <t>₸/м²</t>
  </si>
  <si>
    <t>От пользователя; материалы считаются отдельно</t>
  </si>
  <si>
    <t>Жилая комната</t>
  </si>
  <si>
    <t>По экспликации</t>
  </si>
  <si>
    <t>Кухня</t>
  </si>
  <si>
    <t>По экспликации, остаётся на месте</t>
  </si>
  <si>
    <t>Прихожая</t>
  </si>
  <si>
    <t>Санузел</t>
  </si>
  <si>
    <t>Стены под покраску, нетто</t>
  </si>
  <si>
    <t>Предварительно; проверить проёмы/развёртки</t>
  </si>
  <si>
    <t>Сухие зоны под штукатурку</t>
  </si>
  <si>
    <t>Неизвестно, насколько нужна новая штукатурка</t>
  </si>
  <si>
    <t>Влажные зоны под штукатурку</t>
  </si>
  <si>
    <t>Предварительная площадь</t>
  </si>
  <si>
    <t>Облицовка стен ванной</t>
  </si>
  <si>
    <t>Кухонный фартук</t>
  </si>
  <si>
    <t>Около 3 м кухни</t>
  </si>
  <si>
    <t>Условная чистая высота</t>
  </si>
  <si>
    <t>м</t>
  </si>
  <si>
    <t>После отделки; требуется обмер</t>
  </si>
  <si>
    <t>Длина условной соседской стены</t>
  </si>
  <si>
    <t>Положение межквартирной стены не подтверждено</t>
  </si>
  <si>
    <t>Средний финишный ровнитель</t>
  </si>
  <si>
    <t>мм</t>
  </si>
  <si>
    <t>На существующей пригодной базовой стяжке</t>
  </si>
  <si>
    <t>Гипсовая штукатурка, средний слой</t>
  </si>
  <si>
    <t>По обмеру отклонений</t>
  </si>
  <si>
    <t>Цементная штукатурка, средний слой</t>
  </si>
  <si>
    <t>Запас материала</t>
  </si>
  <si>
    <t>доля</t>
  </si>
  <si>
    <t>Уточнить по раскрою, системе и упаковкам</t>
  </si>
  <si>
    <t>Укрывистость/площадь покрытия стены</t>
  </si>
  <si>
    <t>м²/л/слой</t>
  </si>
  <si>
    <t>Условный расход, заменить паспортом</t>
  </si>
  <si>
    <t>Число слоёв краски</t>
  </si>
  <si>
    <t>слоя</t>
  </si>
  <si>
    <t>По технологии продукта</t>
  </si>
  <si>
    <t>Площадь покрытия потолка</t>
  </si>
  <si>
    <t>Условный расход</t>
  </si>
  <si>
    <t>Площадь гидроизоляции</t>
  </si>
  <si>
    <t>Пол + подъёмы + мокрые стены; проверить схему</t>
  </si>
  <si>
    <t>Предварительная ведомость материалов и работ</t>
  </si>
  <si>
    <t>Все товарные ставки — расчётные ориентиры. Низкая/базовая/высокая цена — чувствительность, не рыночные котировки. Синие ячейки редактируются. Монтажные работы повторно не добавлены к цене бригады.</t>
  </si>
  <si>
    <t>№</t>
  </si>
  <si>
    <t>Группа</t>
  </si>
  <si>
    <t>Материал / статья</t>
  </si>
  <si>
    <t>Количество</t>
  </si>
  <si>
    <t>Низкая цена</t>
  </si>
  <si>
    <t>Базовая цена</t>
  </si>
  <si>
    <t>Высокая цена</t>
  </si>
  <si>
    <t>Низкая сумма</t>
  </si>
  <si>
    <t>Базовая сумма</t>
  </si>
  <si>
    <t>Высокая сумма</t>
  </si>
  <si>
    <t>Расчёт / комплектация</t>
  </si>
  <si>
    <t>Статус цены</t>
  </si>
  <si>
    <t>Работа</t>
  </si>
  <si>
    <t>Комплекс работ бригады</t>
  </si>
  <si>
    <t>Ставка пользователя; материалы считаются отдельно. Электрика, сантехника и подготовка стен включены; спецработы подтвердить в перечне.</t>
  </si>
  <si>
    <t>Ставка работ — пользователь; площадь расчётная</t>
  </si>
  <si>
    <t>Основания и стены</t>
  </si>
  <si>
    <t>Гипсовая штукатурка для сухих зон, 30 кг</t>
  </si>
  <si>
    <t>меш.</t>
  </si>
  <si>
    <t>86 м² × 8,5 кг/м² при 10 мм × 1,10 / 30; округление вверх. Расход уточнить по продукту.</t>
  </si>
  <si>
    <t>Расчётный ориентир; прайс не проверен</t>
  </si>
  <si>
    <t>Цементная штукатурка для влажных зон, 25 кг</t>
  </si>
  <si>
    <t>25 м² × 12 кг/м² при 10 мм × 1,10 / 25; проверить совместимость с основанием.</t>
  </si>
  <si>
    <t>Финишная шпаклёвка, 20 кг</t>
  </si>
  <si>
    <t>(96 м² стен + 38,8 м² потолков) × 2 кг/м² × 1,10 / 20; условный расход всего слоя.</t>
  </si>
  <si>
    <t>Грунт под штукатурку/шпаклёвку/краску</t>
  </si>
  <si>
    <t>л</t>
  </si>
  <si>
    <t>Несколько совместимых продуктов под разные основания; не одна универсальная грунтовка.</t>
  </si>
  <si>
    <t>Малярный стеклохолст 40–50 г/м², рулон 50 м²</t>
  </si>
  <si>
    <t>рул.</t>
  </si>
  <si>
    <t>96 м² × 1,10 = 105,6 м²; 3 рулона. Только по совместимой системе; не защищает от активных трещин.</t>
  </si>
  <si>
    <t>Клей для стеклохолста</t>
  </si>
  <si>
    <t>кг</t>
  </si>
  <si>
    <t>Расход и необходимость шпаклёвки поверх — по технологии производителя.</t>
  </si>
  <si>
    <t>Моющаяся матовая краска стен, класс мокрого истирания 1–2</t>
  </si>
  <si>
    <t>96 м² × 2 слоя / 10 м²/л × 1,10 = 21,12 л; 3×10 л на закупку с запасом и колеровкой.</t>
  </si>
  <si>
    <t>Краска потолков</t>
  </si>
  <si>
    <t>38,8 м² × 2 / 8 × 1,10 = 10,67 л; закупка 15 л.</t>
  </si>
  <si>
    <t>Ленты стыков, уголки, абразив, герметики и расходники</t>
  </si>
  <si>
    <t>компл.</t>
  </si>
  <si>
    <t>Армировать стыки по системе; конструкционные швы сохранять.</t>
  </si>
  <si>
    <t>Полы и плитка</t>
  </si>
  <si>
    <t>Финишный ровнитель пола, 25 кг</t>
  </si>
  <si>
    <t>38,8 м² × 5 мм × 1,6 кг/м²/мм × 1,10 / 25; предполагается пригодная базовая стяжка.</t>
  </si>
  <si>
    <t>Ламинат 8–10 мм, класс 32/AC4 или 33/AC5</t>
  </si>
  <si>
    <t>20,5 м² × 1,10 = 22,55 м²; точная закупка по площади упаковки. В кухне и прихожей — плитка.</t>
  </si>
  <si>
    <t>Подложка под ламинат и пароизоляция по инструкции</t>
  </si>
  <si>
    <t>Подложка обычно 1,5–3 мм; толщина и прочность по требованиям замка, не мягкая толстая пена.</t>
  </si>
  <si>
    <t>Плинтус с комплектующими</t>
  </si>
  <si>
    <t>пог. м</t>
  </si>
  <si>
    <t>Предварительный обмер; не крепить одновременно к плавающему полу и стене.</t>
  </si>
  <si>
    <t>Напольный керамогранит кухни/прихожей/санузла</t>
  </si>
  <si>
    <t>(8,9 + 4,3 + 5,1) × 1,10 = 20,13 м²; остаток из упаковок; лоджия не включена.</t>
  </si>
  <si>
    <t>Настенная плитка санузла</t>
  </si>
  <si>
    <t>23 м² облицовки × 1,10 = 25,3 м²; уточнить развёртки и размеры плитки.</t>
  </si>
  <si>
    <t>Плитка кухонного фартука</t>
  </si>
  <si>
    <t>2,5 м² × 1,10 = 2,75 м².</t>
  </si>
  <si>
    <t>Клей для плитки, 25 кг</t>
  </si>
  <si>
    <t>(18,3 + 23 + 2,5) × 4,5 кг/м² × 1,10 / 25; размер зуба, формат и основание уточнить.</t>
  </si>
  <si>
    <t>Затирка, санитарный силикон, профили примыканий</t>
  </si>
  <si>
    <t>Эластичные примыкания; силикон не заменяет гидроизоляцию.</t>
  </si>
  <si>
    <t>Обмазочная гидроизоляция</t>
  </si>
  <si>
    <t>Условно 16 м² × 1,5 кг/м² на систему × 1,10 = 26,4 кг; слои по инструкции.</t>
  </si>
  <si>
    <t>Гидроизоляционная лента и манжеты проходок</t>
  </si>
  <si>
    <t>Ориентир 15 м ленты + манжеты; контроль примыканий к ванне.</t>
  </si>
  <si>
    <t>Шумоизоляция и потолки</t>
  </si>
  <si>
    <t>Виброподвесы потолка гостиной</t>
  </si>
  <si>
    <t>шт.</t>
  </si>
  <si>
    <t>На 20,5 м²; число и допустимую нагрузку определить по выбранной испытанной системе.</t>
  </si>
  <si>
    <t>Акустическая минвата 50 мм потолка</t>
  </si>
  <si>
    <t>20,5 × 1,10; плотность и состав — по системе, сама вата не является звукоизоляционной преградой.</t>
  </si>
  <si>
    <t>Двухслойная листовая обшивка потолка</t>
  </si>
  <si>
    <t>м² слоя</t>
  </si>
  <si>
    <t>2 × 20,5 × 1,10 = 45,1 м²; ГКЛ/ГВЛ по системе. Не считать как 46 м² потолка.</t>
  </si>
  <si>
    <t>Профили потолка, лента, акустический герметик, крепёж</t>
  </si>
  <si>
    <t>Полный развязанный каркас; раскладка и масса по монтажной карте.</t>
  </si>
  <si>
    <t>Каркасная шумоизоляция одной стены: материалы</t>
  </si>
  <si>
    <t>Условно стена 3,1 × 2,8 = 8,68 м². Комплект: каркас, вата, 2 слоя листов, лента и герметик; отделка уже в общей смете.</t>
  </si>
  <si>
    <t>Обычный листовой потолок остальных помещений: материалы</t>
  </si>
  <si>
    <t>Кухня/прихожая/санузел; влагостойкая система в мокрой зоне. Финишная отделка учтена выше.</t>
  </si>
  <si>
    <t>Электрика и свет</t>
  </si>
  <si>
    <t>Медный ВВГнг(А)-LS 3×1,5 мм²</t>
  </si>
  <si>
    <t>Освещение; условные метры с запасом, фактический проект трасс отсутствует.</t>
  </si>
  <si>
    <t>Медный ВВГнг(А)-LS 3×2,5 мм²</t>
  </si>
  <si>
    <t>Розетки, отдельные линии духовки/ПММ/стиральной машины; без повторного учёта духовки в 3×4.</t>
  </si>
  <si>
    <t>Медный ВВГнг(А)-LS 3×6 мм²</t>
  </si>
  <si>
    <t>Предварительно отдельная однофазная линия варочной панели; сечение/защита после проверки мощности и прокладки.</t>
  </si>
  <si>
    <t>Щит, автоматика, УЗО/дифзащита, шины, реле</t>
  </si>
  <si>
    <t>Ориентир на щит 36 модулей с резервом; расчёт и спецификацию делает электрик. Счётчик не включён.</t>
  </si>
  <si>
    <t>Подрозетники, распредкоробки, трубы/гофра, крепёж</t>
  </si>
  <si>
    <t>Не прокладывать кабель в несущем бетоне по произвольным штрабам.</t>
  </si>
  <si>
    <t>Механизмы розеток/выключателей и рамки</t>
  </si>
  <si>
    <t>мех.</t>
  </si>
  <si>
    <t>Количество предварительное; не 32 группы щита.</t>
  </si>
  <si>
    <t>Светильники и рабочая подсветка</t>
  </si>
  <si>
    <t>Простые накладные светильники, бра, LED кухни; крупная бытовая техника исключена.</t>
  </si>
  <si>
    <t>Вода и канализация</t>
  </si>
  <si>
    <t>Труба PEX/PE-RT системы питьевой воды</t>
  </si>
  <si>
    <t>Метраж и диаметры примерные. Один совместимый комплект труб/фитингов; горячая вода по паспорту.</t>
  </si>
  <si>
    <t>Пресс-фитинги, коллекторы, краны, фильтры, крепления</t>
  </si>
  <si>
    <t>Редукторы — по замеру давления; доступ к обслуживаемым соединениям; опрессовка до зашивки.</t>
  </si>
  <si>
    <t>Канализационные трубы 50/110 и фасонные части</t>
  </si>
  <si>
    <t>Кухня и санузел на местах; условно DN50 до 8 м, DN110 до 2 м, ревизии и фитинги.</t>
  </si>
  <si>
    <t>Теплоизоляция труб и проходки</t>
  </si>
  <si>
    <t>Включая защиту от конденсата и гильзы; не считать трубой саму шахту.</t>
  </si>
  <si>
    <t>Защита от протечек с двумя кранами</t>
  </si>
  <si>
    <t>Диаметр и доступность кранов по узлу ввода; датчики под кухней/ванной/стиральной машиной.</t>
  </si>
  <si>
    <t>Сантехника</t>
  </si>
  <si>
    <t>Ванна 170×70 с опорой, экраном и сливом-переливом</t>
  </si>
  <si>
    <t>Обычная встраиваемая; точные размеры после обмера. Доступ к сифону, опора по паспорту.</t>
  </si>
  <si>
    <t>Смеситель ванны с душевым комплектом</t>
  </si>
  <si>
    <t>Наружный монтаж проще обслуживания; хром, доступные картриджи.</t>
  </si>
  <si>
    <t>Унитаз напольный с бачком и сиденьем</t>
  </si>
  <si>
    <t>Согласовать выпуск со стояком; новая инсталляция не включена.</t>
  </si>
  <si>
    <t>Тумба 60–70 см с раковиной</t>
  </si>
  <si>
    <t>Влагостойкость кромок; подвесной монтаж только по расчёту крепления.</t>
  </si>
  <si>
    <t>Смеситель раковины</t>
  </si>
  <si>
    <t>Зеркало, шторка ванны, карниз и мелкая фурнитура</t>
  </si>
  <si>
    <t>Полотенцесушитель и вентилятор санузла</t>
  </si>
  <si>
    <t>Тип подключения по проекту дома; электрическая модель только с подходящим местом установки и защитой.</t>
  </si>
  <si>
    <t>Кухонная мойка и смеситель</t>
  </si>
  <si>
    <t>Фурнитура/сифон; герметизация выреза столешницы.</t>
  </si>
  <si>
    <t>Двери</t>
  </si>
  <si>
    <t>Дверь с полотном 2600 мм, коробкой и фурнитурой</t>
  </si>
  <si>
    <t>Санузел и жилая комната; кухонный существующий проём остаётся без полотна при электроплите. Цена только лимит для запроса; не прайс.</t>
  </si>
  <si>
    <t>Мебель и текстиль</t>
  </si>
  <si>
    <t>Кухня без техники, столешница и фурнитура</t>
  </si>
  <si>
    <t>Около 2,8–3 пог. м рабочей композиции; ЛДСП/MDF, HPL, без каменной столешницы. Размер и комплектацию проверить.</t>
  </si>
  <si>
    <t>Кровать 140×200 с хранением</t>
  </si>
  <si>
    <t>Внешний габарит больше матраса; отдельный подъём основания не является шкафом-кроватью.</t>
  </si>
  <si>
    <t>Матрас 140×200</t>
  </si>
  <si>
    <t>Подбор после пробы; не экономить ради механизма трансформации.</t>
  </si>
  <si>
    <t>Прямой диван около 2 м</t>
  </si>
  <si>
    <t>Без обязательного механизма ежедневного сна.</t>
  </si>
  <si>
    <t>Основной шкаф около 1,8 м шириной</t>
  </si>
  <si>
    <t>Высоту/подъём в квартиру/крепление уточнить; не шкаф-кровать.</t>
  </si>
  <si>
    <t>Откидной стол с опорой и два стула</t>
  </si>
  <si>
    <t>Стол около 90×50 см; крепить к рассчитанному основанию, не к стеклу.</t>
  </si>
  <si>
    <t>Компактный столик и тумба ТВ</t>
  </si>
  <si>
    <t>Телевизор не включён.</t>
  </si>
  <si>
    <t>Шторы окна и штора спальной зоны с карнизами</t>
  </si>
  <si>
    <t>Штора — визуальная приватность, не звукоизоляция.</t>
  </si>
  <si>
    <t>Логистика</t>
  </si>
  <si>
    <t>Доставка, подъём, защита поверхностей, вывоз</t>
  </si>
  <si>
    <t>лимит</t>
  </si>
  <si>
    <t>Если эти услуги уже включены в договор бригады, убрать повторяющиеся части.</t>
  </si>
  <si>
    <t>Сборка и подключение мебельных изделий: отдельный лимит</t>
  </si>
  <si>
    <t>Применять только если не входят в цену мебели/договор; строительные работы повторно не начисляются.</t>
  </si>
  <si>
    <t>Без резерва</t>
  </si>
  <si>
    <t>Смета: реальный расчёт и целевой лимит</t>
  </si>
  <si>
    <t>База: кухня на месте, ванна, ламинат, обычная кровать, потолок гостиной и одна условная стена с шумоизоляцией, две двери 2600 мм. Цели 7 млн — лимиты для запроса КП, а не подтверждённая корзина.</t>
  </si>
  <si>
    <t>Статья</t>
  </si>
  <si>
    <t>Низкий сценарий</t>
  </si>
  <si>
    <t>Базовый сценарий</t>
  </si>
  <si>
    <t>Высокий сценарий</t>
  </si>
  <si>
    <t>Цель 7 млн</t>
  </si>
  <si>
    <t>Расходы без резерва</t>
  </si>
  <si>
    <t>Всего с резервом</t>
  </si>
  <si>
    <t>Остаток лимита (минус = превышение)</t>
  </si>
  <si>
    <t>Не включены: крупная техника, лоджия, перенос кухни/стояков, проёмы, стеклянная перепланировка, шкаф-кровать, паркет, новая входная дверь/окна/радиаторы, кондиционер и тёплый пол. Сложная новая вентиляция и неподтверждённые спецработы требуют отдельного КП. Финишный ровнитель предполагает пригодную базовую стяжку.</t>
  </si>
  <si>
    <t>Изменения к базовому сценарию</t>
  </si>
  <si>
    <t>Эти строки не включены в итог и не суммируются автоматически. Положительные суммы — условные доплаты; непроверенная перепланировка не имеет подтверждённой цены.</t>
  </si>
  <si>
    <t>Опция</t>
  </si>
  <si>
    <t>Изменение, ₸</t>
  </si>
  <si>
    <t>Основание / условие</t>
  </si>
  <si>
    <t>Инженерная доска вместо ламината</t>
  </si>
  <si>
    <t>23 × (22 000 − 6 500) + 80 000; цены условные, выбранная технология уточняется.</t>
  </si>
  <si>
    <t>Шкаф-кровать вместо обычного корпуса</t>
  </si>
  <si>
    <t>650 000 − 100 000; матрас остаётся. Не вычитать автоматически обычный шкаф.</t>
  </si>
  <si>
    <t>Третья дверь 2600 мм</t>
  </si>
  <si>
    <t>Если нужна дверь в кухню; лимит комплекта, труд по договору.</t>
  </si>
  <si>
    <t>Два новых водосчётчика при необходимости</t>
  </si>
  <si>
    <t>2 × 12 000; в базовой смете не покупаются. Оформление и пломбировка не оценены.</t>
  </si>
  <si>
    <t>Каждый дополнительный м² акустической стены</t>
  </si>
  <si>
    <t>Материалы условной системы; площадь определить после осмотра, труд проверить по договору.</t>
  </si>
  <si>
    <t>Базовая стяжка 50 мм, если её нет</t>
  </si>
  <si>
    <t>Пример: 38,8 × 50 × 1,8 кг/м²/мм × 1,05 / 25 = 147 мешков × 1 700. Проверить конструкцию/нагрузку/рецептуру; не монтажное задание.</t>
  </si>
  <si>
    <t>Оплата работы по 38,8 вместо 41 м²</t>
  </si>
  <si>
    <t>(38,8 − 41) × 50 000; только если это согласованная договорная площадь.</t>
  </si>
  <si>
    <t>Частичный проём кухни и стекло</t>
  </si>
  <si>
    <t>Нужно КП</t>
  </si>
  <si>
    <t>Не включено; тип стены неизвестен. Сначала конструктивная проверка, затем отдельная спецификация и КП; цену не подтверждаю.</t>
  </si>
  <si>
    <t>Задание электрику и сантехнику</t>
  </si>
  <si>
    <t>Предварительно 230 В, одна фаза. Это не монтажная схема. Сечения и защиту назначают по расчёту, способу прокладки, вводу и паспортам. Подтвердить выделенную мощность до покупки панели/духовки.</t>
  </si>
  <si>
    <t>Линия / вопрос</t>
  </si>
  <si>
    <t>Метраж / параметр</t>
  </si>
  <si>
    <t>Защита / нагрузка</t>
  </si>
  <si>
    <t>Проверка</t>
  </si>
  <si>
    <t>Освещение</t>
  </si>
  <si>
    <t>70 м: 3×1,5</t>
  </si>
  <si>
    <t>Часто до 10 А</t>
  </si>
  <si>
    <t>Уточнить трассы, нагрузки, прокладку и светильники</t>
  </si>
  <si>
    <t>Розетки + духовка + отдельные машины</t>
  </si>
  <si>
    <t>180 м: 3×2,5</t>
  </si>
  <si>
    <t>Обычно 16 А</t>
  </si>
  <si>
    <t>Метры всех этих линий уже в одной строке; духовка повторно не добавляется</t>
  </si>
  <si>
    <t>Варочная панель 7,2 кВт</t>
  </si>
  <si>
    <t>20 м: 3×6</t>
  </si>
  <si>
    <t>32 А как кандидат</t>
  </si>
  <si>
    <t>7 200 / 230 ≈ 31,3 А; проверить допустимый ток при конкретной прокладке</t>
  </si>
  <si>
    <t>Духовка 3,5 кВт</t>
  </si>
  <si>
    <t>Входит в 180 м 3×2,5</t>
  </si>
  <si>
    <t>16 А при подтверждении</t>
  </si>
  <si>
    <t>3 500 / 230 ≈ 15,2 А; по паспорту устройства</t>
  </si>
  <si>
    <t>Совместная мощность панели и духовки</t>
  </si>
  <si>
    <t>10,7 кВт</t>
  </si>
  <si>
    <t>≈46,5 А при 230 В</t>
  </si>
  <si>
    <t>Если ввод 32 А, нужна другая согласованная схема/ограничение мощности</t>
  </si>
  <si>
    <t>3×4 мм²</t>
  </si>
  <si>
    <t>Не закупать по умолчанию</t>
  </si>
  <si>
    <t>По расчёту</t>
  </si>
  <si>
    <t>Если потребуется, заменяет соответствующий метраж 3×2,5</t>
  </si>
  <si>
    <t>Защитное отключение</t>
  </si>
  <si>
    <t>Тип A, 30 мА — предмет проекта</t>
  </si>
  <si>
    <t>По схеме/паспорту</t>
  </si>
  <si>
    <t>Инверторным устройствам могут требоваться другие типы. Проверить PE, N и ввод.</t>
  </si>
  <si>
    <t>Счётчики</t>
  </si>
  <si>
    <t>Проверить комплект застройщика</t>
  </si>
  <si>
    <t>Без автоматической замены</t>
  </si>
  <si>
    <t>Паспорта, поверка, номера, пломбы и порядок ввода; электрический/тепловой прибор не оценены</t>
  </si>
  <si>
    <t>Источники и запрос коммерческих предложений</t>
  </si>
  <si>
    <t>13.10.2026. Отсутствие доступа не заменяется выдуманными прайсами. Адреса магазинов, остатки и минимальные цены не установлены. Примеры марок в записке — кандидаты для сравнения, не проверенные предложения.</t>
  </si>
  <si>
    <t>Источник</t>
  </si>
  <si>
    <t>Ссылка / происхождение</t>
  </si>
  <si>
    <t>Что получено</t>
  </si>
  <si>
    <t>Статус</t>
  </si>
  <si>
    <t>Ставка работы</t>
  </si>
  <si>
    <t>Сообщение пользователя</t>
  </si>
  <si>
    <t>50 000 ₸/м²; состав основных работ подтверждён</t>
  </si>
  <si>
    <t>Подтверждено пользователем</t>
  </si>
  <si>
    <t>Площади</t>
  </si>
  <si>
    <t>Ранее предоставленная схема</t>
  </si>
  <si>
    <t>20,5 + 8,9 + 4,3 + 5,1 = 38,8 м²</t>
  </si>
  <si>
    <t>Экспликация; натурный обмер не выполнен</t>
  </si>
  <si>
    <t>Товары: все цены</t>
  </si>
  <si>
    <t>Расчётные допущения</t>
  </si>
  <si>
    <t>Ни один товарный прайс не прочитан; объёмы предварительные</t>
  </si>
  <si>
    <t>Не проверено</t>
  </si>
  <si>
    <t>Каталог для запроса</t>
  </si>
  <si>
    <t>https://12.kz/</t>
  </si>
  <si>
    <t>CONNECT HTTP 403, повторная проверка без результата</t>
  </si>
  <si>
    <t>Цена/наличие не получены</t>
  </si>
  <si>
    <t>https://akvilon.kz/</t>
  </si>
  <si>
    <t>CONNECT HTTP 403</t>
  </si>
  <si>
    <t>Доставку в Астану проверить</t>
  </si>
  <si>
    <t>https://leroymerlin.kz/</t>
  </si>
  <si>
    <t>Актуальный ассортимент/условия не установлены</t>
  </si>
  <si>
    <t>Продавцы для сравнения</t>
  </si>
  <si>
    <t>https://satu.kz/</t>
  </si>
  <si>
    <t>Отдельные продавцы и документы не проверены</t>
  </si>
  <si>
    <t>Поиск</t>
  </si>
  <si>
    <t>Google / Bing</t>
  </si>
  <si>
    <t>Рыночное сравнение не выполнено</t>
  </si>
  <si>
    <t>Текст запроса: «Прошу цену по приложенной ведомости для доставки в Астану. Укажите производителя/артикул, единицу и упаковку, фактическое количество, цену с налогами, наличие, срок поставки, доставку/подъём, гарантию и возврат. Замены согласовать отдельно; приложить паспорта/документы. Двери: полотно 2600 мм, цена полного комплекта. Акустика: спецификация всей системы. Работа и сборка: указать, что уже входит».</t>
  </si>
</sst>
</file>

<file path=xl/styles.xml><?xml version="1.0" encoding="utf-8"?>
<styleSheet xmlns="http://schemas.openxmlformats.org/spreadsheetml/2006/main">
  <numFmts count="3">
    <numFmt numFmtId="164" formatCode="#,##0.##"/>
    <numFmt numFmtId="165" formatCode="0%"/>
    <numFmt numFmtId="166" formatCode="#,##0 &quot;₸&quot;"/>
  </numFmts>
  <fonts count="7">
    <font>
      <sz val="11"/>
      <color theme="1"/>
      <name val="Calibri"/>
      <family val="2"/>
      <scheme val="minor"/>
    </font>
    <font>
      <b/>
      <sz val="18"/>
      <color rgb="FF39432E"/>
      <name val="Calibri"/>
      <family val="2"/>
      <scheme val="minor"/>
    </font>
    <font>
      <sz val="11"/>
      <color rgb="FF6A6A6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6AB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176AB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26B4E"/>
        <bgColor indexed="64"/>
      </patternFill>
    </fill>
    <fill>
      <patternFill patternType="solid">
        <fgColor rgb="FFF2F8FF"/>
        <bgColor indexed="64"/>
      </patternFill>
    </fill>
    <fill>
      <patternFill patternType="solid">
        <fgColor rgb="FFE9EED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ED4"/>
      </left>
      <right style="thin">
        <color rgb="FFDDDED4"/>
      </right>
      <top style="thin">
        <color rgb="FFDDDED4"/>
      </top>
      <bottom style="thin">
        <color rgb="FFDDDE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164" fontId="4" fillId="3" borderId="2" xfId="0" applyNumberFormat="1" applyFont="1" applyFill="1" applyBorder="1" applyAlignment="1">
      <alignment vertical="top"/>
    </xf>
    <xf numFmtId="165" fontId="4" fillId="3" borderId="1" xfId="0" applyNumberFormat="1" applyFont="1" applyFill="1" applyBorder="1"/>
    <xf numFmtId="164" fontId="0" fillId="0" borderId="2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5" fillId="4" borderId="1" xfId="0" applyNumberFormat="1" applyFont="1" applyFill="1" applyBorder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1">
    <dxf>
      <font>
        <color rgb="FFA63E2C"/>
      </font>
      <fill>
        <patternFill>
          <bgColor rgb="FFFFF1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2.kz/" TargetMode="External"/><Relationship Id="rId2" Type="http://schemas.openxmlformats.org/officeDocument/2006/relationships/hyperlink" Target="https://akvilon.kz/" TargetMode="External"/><Relationship Id="rId3" Type="http://schemas.openxmlformats.org/officeDocument/2006/relationships/hyperlink" Target="https://leroymerlin.kz/" TargetMode="External"/><Relationship Id="rId4" Type="http://schemas.openxmlformats.org/officeDocument/2006/relationships/hyperlink" Target="https://satu.k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3" width="18.7109375" customWidth="1"/>
    <col min="4" max="4" width="70.7109375" customWidth="1"/>
  </cols>
  <sheetData>
    <row r="1" spans="1:4">
      <c r="A1" s="1" t="s">
        <v>0</v>
      </c>
      <c r="B1" s="1"/>
      <c r="C1" s="1"/>
      <c r="D1" s="1"/>
    </row>
    <row r="2" spans="1:4" ht="23" customHeight="1">
      <c r="A2" s="2" t="s">
        <v>1</v>
      </c>
      <c r="B2" s="2"/>
      <c r="C2" s="2"/>
      <c r="D2" s="2"/>
    </row>
    <row r="3" spans="1:4" ht="22" customHeight="1">
      <c r="A3" s="2"/>
      <c r="B3" s="2"/>
      <c r="C3" s="2"/>
      <c r="D3" s="2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 ht="32" customHeight="1">
      <c r="A5" s="4" t="s">
        <v>6</v>
      </c>
      <c r="B5" s="5">
        <v>7000000</v>
      </c>
      <c r="C5" s="4" t="s">
        <v>7</v>
      </c>
      <c r="D5" s="4" t="s">
        <v>8</v>
      </c>
    </row>
    <row r="6" spans="1:4" ht="32" customHeight="1">
      <c r="A6" s="4" t="s">
        <v>9</v>
      </c>
      <c r="B6" s="5">
        <v>700000</v>
      </c>
      <c r="C6" s="4" t="s">
        <v>7</v>
      </c>
      <c r="D6" s="4" t="s">
        <v>10</v>
      </c>
    </row>
    <row r="7" spans="1:4" ht="32" customHeight="1">
      <c r="A7" s="4" t="s">
        <v>11</v>
      </c>
      <c r="B7" s="5">
        <v>41</v>
      </c>
      <c r="C7" s="4" t="s">
        <v>12</v>
      </c>
      <c r="D7" s="4" t="s">
        <v>13</v>
      </c>
    </row>
    <row r="8" spans="1:4" ht="32" customHeight="1">
      <c r="A8" s="4" t="s">
        <v>14</v>
      </c>
      <c r="B8" s="5">
        <v>50000</v>
      </c>
      <c r="C8" s="4" t="s">
        <v>15</v>
      </c>
      <c r="D8" s="4" t="s">
        <v>16</v>
      </c>
    </row>
    <row r="9" spans="1:4" ht="32" customHeight="1">
      <c r="A9" s="4" t="s">
        <v>17</v>
      </c>
      <c r="B9" s="5">
        <v>20.5</v>
      </c>
      <c r="C9" s="4" t="s">
        <v>12</v>
      </c>
      <c r="D9" s="4" t="s">
        <v>18</v>
      </c>
    </row>
    <row r="10" spans="1:4" ht="32" customHeight="1">
      <c r="A10" s="4" t="s">
        <v>19</v>
      </c>
      <c r="B10" s="5">
        <v>8.9</v>
      </c>
      <c r="C10" s="4" t="s">
        <v>12</v>
      </c>
      <c r="D10" s="4" t="s">
        <v>20</v>
      </c>
    </row>
    <row r="11" spans="1:4" ht="32" customHeight="1">
      <c r="A11" s="4" t="s">
        <v>21</v>
      </c>
      <c r="B11" s="5">
        <v>4.3</v>
      </c>
      <c r="C11" s="4" t="s">
        <v>12</v>
      </c>
      <c r="D11" s="4" t="s">
        <v>18</v>
      </c>
    </row>
    <row r="12" spans="1:4" ht="32" customHeight="1">
      <c r="A12" s="4" t="s">
        <v>22</v>
      </c>
      <c r="B12" s="5">
        <v>5.1</v>
      </c>
      <c r="C12" s="4" t="s">
        <v>12</v>
      </c>
      <c r="D12" s="4" t="s">
        <v>18</v>
      </c>
    </row>
    <row r="13" spans="1:4" ht="32" customHeight="1">
      <c r="A13" s="4" t="s">
        <v>23</v>
      </c>
      <c r="B13" s="5">
        <v>96</v>
      </c>
      <c r="C13" s="4" t="s">
        <v>12</v>
      </c>
      <c r="D13" s="4" t="s">
        <v>24</v>
      </c>
    </row>
    <row r="14" spans="1:4" ht="32" customHeight="1">
      <c r="A14" s="4" t="s">
        <v>25</v>
      </c>
      <c r="B14" s="5">
        <v>86</v>
      </c>
      <c r="C14" s="4" t="s">
        <v>12</v>
      </c>
      <c r="D14" s="4" t="s">
        <v>26</v>
      </c>
    </row>
    <row r="15" spans="1:4" ht="32" customHeight="1">
      <c r="A15" s="4" t="s">
        <v>27</v>
      </c>
      <c r="B15" s="5">
        <v>25</v>
      </c>
      <c r="C15" s="4" t="s">
        <v>12</v>
      </c>
      <c r="D15" s="4" t="s">
        <v>28</v>
      </c>
    </row>
    <row r="16" spans="1:4" ht="32" customHeight="1">
      <c r="A16" s="4" t="s">
        <v>29</v>
      </c>
      <c r="B16" s="5">
        <v>23</v>
      </c>
      <c r="C16" s="4" t="s">
        <v>12</v>
      </c>
      <c r="D16" s="4" t="s">
        <v>28</v>
      </c>
    </row>
    <row r="17" spans="1:4" ht="32" customHeight="1">
      <c r="A17" s="4" t="s">
        <v>30</v>
      </c>
      <c r="B17" s="5">
        <v>2.5</v>
      </c>
      <c r="C17" s="4" t="s">
        <v>12</v>
      </c>
      <c r="D17" s="4" t="s">
        <v>31</v>
      </c>
    </row>
    <row r="18" spans="1:4" ht="32" customHeight="1">
      <c r="A18" s="4" t="s">
        <v>32</v>
      </c>
      <c r="B18" s="5">
        <v>2.8</v>
      </c>
      <c r="C18" s="4" t="s">
        <v>33</v>
      </c>
      <c r="D18" s="4" t="s">
        <v>34</v>
      </c>
    </row>
    <row r="19" spans="1:4" ht="32" customHeight="1">
      <c r="A19" s="4" t="s">
        <v>35</v>
      </c>
      <c r="B19" s="5">
        <v>3.1</v>
      </c>
      <c r="C19" s="4" t="s">
        <v>33</v>
      </c>
      <c r="D19" s="4" t="s">
        <v>36</v>
      </c>
    </row>
    <row r="20" spans="1:4" ht="32" customHeight="1">
      <c r="A20" s="4" t="s">
        <v>37</v>
      </c>
      <c r="B20" s="5">
        <v>5</v>
      </c>
      <c r="C20" s="4" t="s">
        <v>38</v>
      </c>
      <c r="D20" s="4" t="s">
        <v>39</v>
      </c>
    </row>
    <row r="21" spans="1:4" ht="32" customHeight="1">
      <c r="A21" s="4" t="s">
        <v>40</v>
      </c>
      <c r="B21" s="5">
        <v>10</v>
      </c>
      <c r="C21" s="4" t="s">
        <v>38</v>
      </c>
      <c r="D21" s="4" t="s">
        <v>41</v>
      </c>
    </row>
    <row r="22" spans="1:4" ht="32" customHeight="1">
      <c r="A22" s="4" t="s">
        <v>42</v>
      </c>
      <c r="B22" s="5">
        <v>10</v>
      </c>
      <c r="C22" s="4" t="s">
        <v>38</v>
      </c>
      <c r="D22" s="4" t="s">
        <v>41</v>
      </c>
    </row>
    <row r="23" spans="1:4" ht="32" customHeight="1">
      <c r="A23" s="4" t="s">
        <v>43</v>
      </c>
      <c r="B23" s="6">
        <v>0.1</v>
      </c>
      <c r="C23" s="4" t="s">
        <v>44</v>
      </c>
      <c r="D23" s="4" t="s">
        <v>45</v>
      </c>
    </row>
    <row r="24" spans="1:4" ht="32" customHeight="1">
      <c r="A24" s="4" t="s">
        <v>46</v>
      </c>
      <c r="B24" s="5">
        <v>10</v>
      </c>
      <c r="C24" s="4" t="s">
        <v>47</v>
      </c>
      <c r="D24" s="4" t="s">
        <v>48</v>
      </c>
    </row>
    <row r="25" spans="1:4" ht="32" customHeight="1">
      <c r="A25" s="4" t="s">
        <v>49</v>
      </c>
      <c r="B25" s="5">
        <v>2</v>
      </c>
      <c r="C25" s="4" t="s">
        <v>50</v>
      </c>
      <c r="D25" s="4" t="s">
        <v>51</v>
      </c>
    </row>
    <row r="26" spans="1:4" ht="32" customHeight="1">
      <c r="A26" s="4" t="s">
        <v>52</v>
      </c>
      <c r="B26" s="5">
        <v>8</v>
      </c>
      <c r="C26" s="4" t="s">
        <v>47</v>
      </c>
      <c r="D26" s="4" t="s">
        <v>53</v>
      </c>
    </row>
    <row r="27" spans="1:4" ht="32" customHeight="1">
      <c r="A27" s="4" t="s">
        <v>54</v>
      </c>
      <c r="B27" s="5">
        <v>16</v>
      </c>
      <c r="C27" s="4" t="s">
        <v>12</v>
      </c>
      <c r="D27" s="4" t="s">
        <v>55</v>
      </c>
    </row>
  </sheetData>
  <mergeCells count="2">
    <mergeCell ref="A1:D1"/>
    <mergeCell ref="A2:D3"/>
  </mergeCells>
  <dataValidations count="23">
    <dataValidation type="decimal" operator="greaterThanOrEqual" allowBlank="1" showInputMessage="1" showErrorMessage="1" promptTitle="Неотрицательное число" prompt="Изменяйте только после обмера/договора." sqref="B5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6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7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8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9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0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1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2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3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4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5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6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7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8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19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0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1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2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3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4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5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6">
      <formula1>0</formula1>
    </dataValidation>
    <dataValidation type="decimal" operator="greaterThanOrEqual" allowBlank="1" showInputMessage="1" showErrorMessage="1" promptTitle="Неотрицательное число" prompt="Изменяйте только после обмера/договора." sqref="B27">
      <formula1>0</formula1>
    </dataValidation>
  </dataValidations>
  <pageMargins left="0.3" right="0.3" top="0.4" bottom="0.4" header="0.3" footer="0.3"/>
  <pageSetup paperSize="9" fitToHeight="0" orientation="landscape"/>
  <headerFooter>
    <oddFooter>&amp;LСанды-кала 2 · 13.10.2026&amp;CПредварительно&amp;RСтраница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3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4.7109375" customWidth="1"/>
    <col min="2" max="2" width="22.7109375" customWidth="1"/>
    <col min="3" max="3" width="48.7109375" customWidth="1"/>
    <col min="4" max="5" width="12.7109375" customWidth="1"/>
    <col min="6" max="11" width="17.7109375" customWidth="1"/>
    <col min="12" max="12" width="70.7109375" customWidth="1"/>
    <col min="13" max="13" width="30.7109375" customWidth="1"/>
  </cols>
  <sheetData>
    <row r="1" spans="1:13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4" customHeight="1">
      <c r="A4" s="3" t="s">
        <v>58</v>
      </c>
      <c r="B4" s="3" t="s">
        <v>59</v>
      </c>
      <c r="C4" s="3" t="s">
        <v>60</v>
      </c>
      <c r="D4" s="3" t="s">
        <v>61</v>
      </c>
      <c r="E4" s="3" t="s">
        <v>4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</row>
    <row r="5" spans="1:13" ht="60" customHeight="1">
      <c r="A5" s="7">
        <v>1</v>
      </c>
      <c r="B5" s="4" t="s">
        <v>70</v>
      </c>
      <c r="C5" s="4" t="s">
        <v>71</v>
      </c>
      <c r="D5" s="7">
        <f>'Исходные'!$B$7</f>
        <v>41</v>
      </c>
      <c r="E5" s="4" t="s">
        <v>12</v>
      </c>
      <c r="F5" s="8">
        <f>'Исходные'!$B$8</f>
        <v>50000</v>
      </c>
      <c r="G5" s="8">
        <f>'Исходные'!$B$8</f>
        <v>50000</v>
      </c>
      <c r="H5" s="8">
        <f>'Исходные'!$B$8</f>
        <v>50000</v>
      </c>
      <c r="I5" s="8">
        <f>D5*F5</f>
        <v>2050000</v>
      </c>
      <c r="J5" s="8">
        <f>D5*G5</f>
        <v>2050000</v>
      </c>
      <c r="K5" s="8">
        <f>D5*H5</f>
        <v>2050000</v>
      </c>
      <c r="L5" s="4" t="s">
        <v>72</v>
      </c>
      <c r="M5" s="4" t="s">
        <v>73</v>
      </c>
    </row>
    <row r="6" spans="1:13" ht="60" customHeight="1">
      <c r="A6" s="7">
        <v>2</v>
      </c>
      <c r="B6" s="4" t="s">
        <v>74</v>
      </c>
      <c r="C6" s="4" t="s">
        <v>75</v>
      </c>
      <c r="D6" s="7">
        <f>ROUNDUP('Исходные'!$B$14*8.5*'Исходные'!$B$21/10*(1+'Исходные'!$B$23)/30,0)</f>
        <v>27</v>
      </c>
      <c r="E6" s="4" t="s">
        <v>76</v>
      </c>
      <c r="F6" s="5">
        <v>3600</v>
      </c>
      <c r="G6" s="5">
        <v>4500</v>
      </c>
      <c r="H6" s="5">
        <v>5625</v>
      </c>
      <c r="I6" s="8">
        <f>D6*F6</f>
        <v>97200</v>
      </c>
      <c r="J6" s="8">
        <f>D6*G6</f>
        <v>121500</v>
      </c>
      <c r="K6" s="8">
        <f>D6*H6</f>
        <v>151875</v>
      </c>
      <c r="L6" s="4" t="s">
        <v>77</v>
      </c>
      <c r="M6" s="4" t="s">
        <v>78</v>
      </c>
    </row>
    <row r="7" spans="1:13" ht="60" customHeight="1">
      <c r="A7" s="7">
        <v>3</v>
      </c>
      <c r="B7" s="4" t="s">
        <v>74</v>
      </c>
      <c r="C7" s="4" t="s">
        <v>79</v>
      </c>
      <c r="D7" s="7">
        <f>ROUNDUP('Исходные'!$B$15*12*'Исходные'!$B$22/10*(1+'Исходные'!$B$23)/25,0)</f>
        <v>14</v>
      </c>
      <c r="E7" s="4" t="s">
        <v>76</v>
      </c>
      <c r="F7" s="5">
        <v>3040</v>
      </c>
      <c r="G7" s="5">
        <v>3800</v>
      </c>
      <c r="H7" s="5">
        <v>4750</v>
      </c>
      <c r="I7" s="8">
        <f>D7*F7</f>
        <v>42560</v>
      </c>
      <c r="J7" s="8">
        <f>D7*G7</f>
        <v>53200</v>
      </c>
      <c r="K7" s="8">
        <f>D7*H7</f>
        <v>66500</v>
      </c>
      <c r="L7" s="4" t="s">
        <v>80</v>
      </c>
      <c r="M7" s="4" t="s">
        <v>78</v>
      </c>
    </row>
    <row r="8" spans="1:13" ht="60" customHeight="1">
      <c r="A8" s="7">
        <v>4</v>
      </c>
      <c r="B8" s="4" t="s">
        <v>74</v>
      </c>
      <c r="C8" s="4" t="s">
        <v>81</v>
      </c>
      <c r="D8" s="7">
        <f>ROUNDUP(('Исходные'!$B$13+('Исходные'!$B$9+'Исходные'!$B$10+'Исходные'!$B$11+'Исходные'!$B$12))*2*(1+'Исходные'!$B$23)/20,0)</f>
        <v>15</v>
      </c>
      <c r="E8" s="4" t="s">
        <v>76</v>
      </c>
      <c r="F8" s="5">
        <v>4800</v>
      </c>
      <c r="G8" s="5">
        <v>6000</v>
      </c>
      <c r="H8" s="5">
        <v>7500</v>
      </c>
      <c r="I8" s="8">
        <f>D8*F8</f>
        <v>72000</v>
      </c>
      <c r="J8" s="8">
        <f>D8*G8</f>
        <v>90000</v>
      </c>
      <c r="K8" s="8">
        <f>D8*H8</f>
        <v>112500</v>
      </c>
      <c r="L8" s="4" t="s">
        <v>82</v>
      </c>
      <c r="M8" s="4" t="s">
        <v>78</v>
      </c>
    </row>
    <row r="9" spans="1:13" ht="60" customHeight="1">
      <c r="A9" s="7">
        <v>5</v>
      </c>
      <c r="B9" s="4" t="s">
        <v>74</v>
      </c>
      <c r="C9" s="4" t="s">
        <v>83</v>
      </c>
      <c r="D9" s="5">
        <v>30</v>
      </c>
      <c r="E9" s="4" t="s">
        <v>84</v>
      </c>
      <c r="F9" s="5">
        <v>960</v>
      </c>
      <c r="G9" s="5">
        <v>1200</v>
      </c>
      <c r="H9" s="5">
        <v>1500</v>
      </c>
      <c r="I9" s="8">
        <f>D9*F9</f>
        <v>28800</v>
      </c>
      <c r="J9" s="8">
        <f>D9*G9</f>
        <v>36000</v>
      </c>
      <c r="K9" s="8">
        <f>D9*H9</f>
        <v>45000</v>
      </c>
      <c r="L9" s="4" t="s">
        <v>85</v>
      </c>
      <c r="M9" s="4" t="s">
        <v>78</v>
      </c>
    </row>
    <row r="10" spans="1:13" ht="60" customHeight="1">
      <c r="A10" s="7">
        <v>6</v>
      </c>
      <c r="B10" s="4" t="s">
        <v>74</v>
      </c>
      <c r="C10" s="4" t="s">
        <v>86</v>
      </c>
      <c r="D10" s="7">
        <f>ROUNDUP('Исходные'!$B$13*(1+'Исходные'!$B$23)/50,0)</f>
        <v>3</v>
      </c>
      <c r="E10" s="4" t="s">
        <v>87</v>
      </c>
      <c r="F10" s="5">
        <v>14400</v>
      </c>
      <c r="G10" s="5">
        <v>18000</v>
      </c>
      <c r="H10" s="5">
        <v>22500</v>
      </c>
      <c r="I10" s="8">
        <f>D10*F10</f>
        <v>43200</v>
      </c>
      <c r="J10" s="8">
        <f>D10*G10</f>
        <v>54000</v>
      </c>
      <c r="K10" s="8">
        <f>D10*H10</f>
        <v>67500</v>
      </c>
      <c r="L10" s="4" t="s">
        <v>88</v>
      </c>
      <c r="M10" s="4" t="s">
        <v>78</v>
      </c>
    </row>
    <row r="11" spans="1:13" ht="60" customHeight="1">
      <c r="A11" s="7">
        <v>7</v>
      </c>
      <c r="B11" s="4" t="s">
        <v>74</v>
      </c>
      <c r="C11" s="4" t="s">
        <v>89</v>
      </c>
      <c r="D11" s="5">
        <v>15</v>
      </c>
      <c r="E11" s="4" t="s">
        <v>90</v>
      </c>
      <c r="F11" s="5">
        <v>1440</v>
      </c>
      <c r="G11" s="5">
        <v>1800</v>
      </c>
      <c r="H11" s="5">
        <v>2250</v>
      </c>
      <c r="I11" s="8">
        <f>D11*F11</f>
        <v>21600</v>
      </c>
      <c r="J11" s="8">
        <f>D11*G11</f>
        <v>27000</v>
      </c>
      <c r="K11" s="8">
        <f>D11*H11</f>
        <v>33750</v>
      </c>
      <c r="L11" s="4" t="s">
        <v>91</v>
      </c>
      <c r="M11" s="4" t="s">
        <v>78</v>
      </c>
    </row>
    <row r="12" spans="1:13" ht="60" customHeight="1">
      <c r="A12" s="7">
        <v>8</v>
      </c>
      <c r="B12" s="4" t="s">
        <v>74</v>
      </c>
      <c r="C12" s="4" t="s">
        <v>92</v>
      </c>
      <c r="D12" s="7">
        <f>CEILING('Исходные'!$B$13*'Исходные'!$B$25/'Исходные'!$B$24*(1+'Исходные'!$B$23),10)</f>
        <v>30</v>
      </c>
      <c r="E12" s="4" t="s">
        <v>84</v>
      </c>
      <c r="F12" s="5">
        <v>2800</v>
      </c>
      <c r="G12" s="5">
        <v>3500</v>
      </c>
      <c r="H12" s="5">
        <v>4375</v>
      </c>
      <c r="I12" s="8">
        <f>D12*F12</f>
        <v>84000</v>
      </c>
      <c r="J12" s="8">
        <f>D12*G12</f>
        <v>105000</v>
      </c>
      <c r="K12" s="8">
        <f>D12*H12</f>
        <v>131250</v>
      </c>
      <c r="L12" s="4" t="s">
        <v>93</v>
      </c>
      <c r="M12" s="4" t="s">
        <v>78</v>
      </c>
    </row>
    <row r="13" spans="1:13" ht="60" customHeight="1">
      <c r="A13" s="7">
        <v>9</v>
      </c>
      <c r="B13" s="4" t="s">
        <v>74</v>
      </c>
      <c r="C13" s="4" t="s">
        <v>94</v>
      </c>
      <c r="D13" s="7">
        <f>CEILING(('Исходные'!$B$9+'Исходные'!$B$10+'Исходные'!$B$11+'Исходные'!$B$12)*'Исходные'!$B$25/'Исходные'!$B$26*(1+'Исходные'!$B$23),5)</f>
        <v>15</v>
      </c>
      <c r="E13" s="4" t="s">
        <v>84</v>
      </c>
      <c r="F13" s="5">
        <v>1600</v>
      </c>
      <c r="G13" s="5">
        <v>2000</v>
      </c>
      <c r="H13" s="5">
        <v>2500</v>
      </c>
      <c r="I13" s="8">
        <f>D13*F13</f>
        <v>24000</v>
      </c>
      <c r="J13" s="8">
        <f>D13*G13</f>
        <v>30000</v>
      </c>
      <c r="K13" s="8">
        <f>D13*H13</f>
        <v>37500</v>
      </c>
      <c r="L13" s="4" t="s">
        <v>95</v>
      </c>
      <c r="M13" s="4" t="s">
        <v>78</v>
      </c>
    </row>
    <row r="14" spans="1:13" ht="60" customHeight="1">
      <c r="A14" s="7">
        <v>10</v>
      </c>
      <c r="B14" s="4" t="s">
        <v>74</v>
      </c>
      <c r="C14" s="4" t="s">
        <v>96</v>
      </c>
      <c r="D14" s="5">
        <v>1</v>
      </c>
      <c r="E14" s="4" t="s">
        <v>97</v>
      </c>
      <c r="F14" s="5">
        <v>32000</v>
      </c>
      <c r="G14" s="5">
        <v>40000</v>
      </c>
      <c r="H14" s="5">
        <v>50000</v>
      </c>
      <c r="I14" s="8">
        <f>D14*F14</f>
        <v>32000</v>
      </c>
      <c r="J14" s="8">
        <f>D14*G14</f>
        <v>40000</v>
      </c>
      <c r="K14" s="8">
        <f>D14*H14</f>
        <v>50000</v>
      </c>
      <c r="L14" s="4" t="s">
        <v>98</v>
      </c>
      <c r="M14" s="4" t="s">
        <v>78</v>
      </c>
    </row>
    <row r="15" spans="1:13" ht="60" customHeight="1">
      <c r="A15" s="7">
        <v>11</v>
      </c>
      <c r="B15" s="4" t="s">
        <v>99</v>
      </c>
      <c r="C15" s="4" t="s">
        <v>100</v>
      </c>
      <c r="D15" s="7">
        <f>ROUNDUP(('Исходные'!$B$9+'Исходные'!$B$10+'Исходные'!$B$11+'Исходные'!$B$12)*'Исходные'!$B$20*1.6*(1+'Исходные'!$B$23)/25,0)</f>
        <v>14</v>
      </c>
      <c r="E15" s="4" t="s">
        <v>76</v>
      </c>
      <c r="F15" s="5">
        <v>3600</v>
      </c>
      <c r="G15" s="5">
        <v>4500</v>
      </c>
      <c r="H15" s="5">
        <v>5625</v>
      </c>
      <c r="I15" s="8">
        <f>D15*F15</f>
        <v>50400</v>
      </c>
      <c r="J15" s="8">
        <f>D15*G15</f>
        <v>63000</v>
      </c>
      <c r="K15" s="8">
        <f>D15*H15</f>
        <v>78750</v>
      </c>
      <c r="L15" s="4" t="s">
        <v>101</v>
      </c>
      <c r="M15" s="4" t="s">
        <v>78</v>
      </c>
    </row>
    <row r="16" spans="1:13" ht="60" customHeight="1">
      <c r="A16" s="7">
        <v>12</v>
      </c>
      <c r="B16" s="4" t="s">
        <v>99</v>
      </c>
      <c r="C16" s="4" t="s">
        <v>102</v>
      </c>
      <c r="D16" s="7">
        <f>ROUNDUP('Исходные'!$B$9*(1+'Исходные'!$B$23),0)</f>
        <v>23</v>
      </c>
      <c r="E16" s="4" t="s">
        <v>12</v>
      </c>
      <c r="F16" s="5">
        <v>5200</v>
      </c>
      <c r="G16" s="5">
        <v>6500</v>
      </c>
      <c r="H16" s="5">
        <v>8125</v>
      </c>
      <c r="I16" s="8">
        <f>D16*F16</f>
        <v>119600</v>
      </c>
      <c r="J16" s="8">
        <f>D16*G16</f>
        <v>149500</v>
      </c>
      <c r="K16" s="8">
        <f>D16*H16</f>
        <v>186875</v>
      </c>
      <c r="L16" s="4" t="s">
        <v>103</v>
      </c>
      <c r="M16" s="4" t="s">
        <v>78</v>
      </c>
    </row>
    <row r="17" spans="1:13" ht="60" customHeight="1">
      <c r="A17" s="7">
        <v>13</v>
      </c>
      <c r="B17" s="4" t="s">
        <v>99</v>
      </c>
      <c r="C17" s="4" t="s">
        <v>104</v>
      </c>
      <c r="D17" s="7">
        <f>ROUNDUP('Исходные'!$B$9*(1+'Исходные'!$B$23),0)</f>
        <v>23</v>
      </c>
      <c r="E17" s="4" t="s">
        <v>12</v>
      </c>
      <c r="F17" s="5">
        <v>720</v>
      </c>
      <c r="G17" s="5">
        <v>900</v>
      </c>
      <c r="H17" s="5">
        <v>1125</v>
      </c>
      <c r="I17" s="8">
        <f>D17*F17</f>
        <v>16560</v>
      </c>
      <c r="J17" s="8">
        <f>D17*G17</f>
        <v>20700</v>
      </c>
      <c r="K17" s="8">
        <f>D17*H17</f>
        <v>25875</v>
      </c>
      <c r="L17" s="4" t="s">
        <v>105</v>
      </c>
      <c r="M17" s="4" t="s">
        <v>78</v>
      </c>
    </row>
    <row r="18" spans="1:13" ht="60" customHeight="1">
      <c r="A18" s="7">
        <v>14</v>
      </c>
      <c r="B18" s="4" t="s">
        <v>99</v>
      </c>
      <c r="C18" s="4" t="s">
        <v>106</v>
      </c>
      <c r="D18" s="5">
        <v>34</v>
      </c>
      <c r="E18" s="4" t="s">
        <v>107</v>
      </c>
      <c r="F18" s="5">
        <v>960</v>
      </c>
      <c r="G18" s="5">
        <v>1200</v>
      </c>
      <c r="H18" s="5">
        <v>1500</v>
      </c>
      <c r="I18" s="8">
        <f>D18*F18</f>
        <v>32640</v>
      </c>
      <c r="J18" s="8">
        <f>D18*G18</f>
        <v>40800</v>
      </c>
      <c r="K18" s="8">
        <f>D18*H18</f>
        <v>51000</v>
      </c>
      <c r="L18" s="4" t="s">
        <v>108</v>
      </c>
      <c r="M18" s="4" t="s">
        <v>78</v>
      </c>
    </row>
    <row r="19" spans="1:13" ht="60" customHeight="1">
      <c r="A19" s="7">
        <v>15</v>
      </c>
      <c r="B19" s="4" t="s">
        <v>99</v>
      </c>
      <c r="C19" s="4" t="s">
        <v>109</v>
      </c>
      <c r="D19" s="7">
        <f>ROUNDUP(('Исходные'!$B$10+'Исходные'!$B$11+'Исходные'!$B$12)*(1+'Исходные'!$B$23),0)</f>
        <v>21</v>
      </c>
      <c r="E19" s="4" t="s">
        <v>12</v>
      </c>
      <c r="F19" s="5">
        <v>4800</v>
      </c>
      <c r="G19" s="5">
        <v>6000</v>
      </c>
      <c r="H19" s="5">
        <v>7500</v>
      </c>
      <c r="I19" s="8">
        <f>D19*F19</f>
        <v>100800</v>
      </c>
      <c r="J19" s="8">
        <f>D19*G19</f>
        <v>126000</v>
      </c>
      <c r="K19" s="8">
        <f>D19*H19</f>
        <v>157500</v>
      </c>
      <c r="L19" s="4" t="s">
        <v>110</v>
      </c>
      <c r="M19" s="4" t="s">
        <v>78</v>
      </c>
    </row>
    <row r="20" spans="1:13" ht="60" customHeight="1">
      <c r="A20" s="7">
        <v>16</v>
      </c>
      <c r="B20" s="4" t="s">
        <v>99</v>
      </c>
      <c r="C20" s="4" t="s">
        <v>111</v>
      </c>
      <c r="D20" s="7">
        <f>ROUNDUP('Исходные'!$B$16*(1+'Исходные'!$B$23),0)</f>
        <v>26</v>
      </c>
      <c r="E20" s="4" t="s">
        <v>12</v>
      </c>
      <c r="F20" s="5">
        <v>5200</v>
      </c>
      <c r="G20" s="5">
        <v>6500</v>
      </c>
      <c r="H20" s="5">
        <v>8125</v>
      </c>
      <c r="I20" s="8">
        <f>D20*F20</f>
        <v>135200</v>
      </c>
      <c r="J20" s="8">
        <f>D20*G20</f>
        <v>169000</v>
      </c>
      <c r="K20" s="8">
        <f>D20*H20</f>
        <v>211250</v>
      </c>
      <c r="L20" s="4" t="s">
        <v>112</v>
      </c>
      <c r="M20" s="4" t="s">
        <v>78</v>
      </c>
    </row>
    <row r="21" spans="1:13" ht="60" customHeight="1">
      <c r="A21" s="7">
        <v>17</v>
      </c>
      <c r="B21" s="4" t="s">
        <v>99</v>
      </c>
      <c r="C21" s="4" t="s">
        <v>113</v>
      </c>
      <c r="D21" s="7">
        <f>ROUNDUP('Исходные'!$B$17*(1+'Исходные'!$B$23),0)</f>
        <v>3</v>
      </c>
      <c r="E21" s="4" t="s">
        <v>12</v>
      </c>
      <c r="F21" s="5">
        <v>5200</v>
      </c>
      <c r="G21" s="5">
        <v>6500</v>
      </c>
      <c r="H21" s="5">
        <v>8125</v>
      </c>
      <c r="I21" s="8">
        <f>D21*F21</f>
        <v>15600</v>
      </c>
      <c r="J21" s="8">
        <f>D21*G21</f>
        <v>19500</v>
      </c>
      <c r="K21" s="8">
        <f>D21*H21</f>
        <v>24375</v>
      </c>
      <c r="L21" s="4" t="s">
        <v>114</v>
      </c>
      <c r="M21" s="4" t="s">
        <v>78</v>
      </c>
    </row>
    <row r="22" spans="1:13" ht="60" customHeight="1">
      <c r="A22" s="7">
        <v>18</v>
      </c>
      <c r="B22" s="4" t="s">
        <v>99</v>
      </c>
      <c r="C22" s="4" t="s">
        <v>115</v>
      </c>
      <c r="D22" s="7">
        <f>ROUNDUP(('Исходные'!$B$10+'Исходные'!$B$11+'Исходные'!$B$12+'Исходные'!$B$16+'Исходные'!$B$17)*4.5*(1+'Исходные'!$B$23)/25,0)</f>
        <v>9</v>
      </c>
      <c r="E22" s="4" t="s">
        <v>76</v>
      </c>
      <c r="F22" s="5">
        <v>4800</v>
      </c>
      <c r="G22" s="5">
        <v>6000</v>
      </c>
      <c r="H22" s="5">
        <v>7500</v>
      </c>
      <c r="I22" s="8">
        <f>D22*F22</f>
        <v>43200</v>
      </c>
      <c r="J22" s="8">
        <f>D22*G22</f>
        <v>54000</v>
      </c>
      <c r="K22" s="8">
        <f>D22*H22</f>
        <v>67500</v>
      </c>
      <c r="L22" s="4" t="s">
        <v>116</v>
      </c>
      <c r="M22" s="4" t="s">
        <v>78</v>
      </c>
    </row>
    <row r="23" spans="1:13" ht="60" customHeight="1">
      <c r="A23" s="7">
        <v>19</v>
      </c>
      <c r="B23" s="4" t="s">
        <v>99</v>
      </c>
      <c r="C23" s="4" t="s">
        <v>117</v>
      </c>
      <c r="D23" s="5">
        <v>1</v>
      </c>
      <c r="E23" s="4" t="s">
        <v>97</v>
      </c>
      <c r="F23" s="5">
        <v>28000</v>
      </c>
      <c r="G23" s="5">
        <v>35000</v>
      </c>
      <c r="H23" s="5">
        <v>43750</v>
      </c>
      <c r="I23" s="8">
        <f>D23*F23</f>
        <v>28000</v>
      </c>
      <c r="J23" s="8">
        <f>D23*G23</f>
        <v>35000</v>
      </c>
      <c r="K23" s="8">
        <f>D23*H23</f>
        <v>43750</v>
      </c>
      <c r="L23" s="4" t="s">
        <v>118</v>
      </c>
      <c r="M23" s="4" t="s">
        <v>78</v>
      </c>
    </row>
    <row r="24" spans="1:13" ht="60" customHeight="1">
      <c r="A24" s="7">
        <v>20</v>
      </c>
      <c r="B24" s="4" t="s">
        <v>99</v>
      </c>
      <c r="C24" s="4" t="s">
        <v>119</v>
      </c>
      <c r="D24" s="7">
        <f>CEILING('Исходные'!$B$27*1.5*(1+'Исходные'!$B$23),10)</f>
        <v>30</v>
      </c>
      <c r="E24" s="4" t="s">
        <v>90</v>
      </c>
      <c r="F24" s="5">
        <v>1840</v>
      </c>
      <c r="G24" s="5">
        <v>2300</v>
      </c>
      <c r="H24" s="5">
        <v>2875</v>
      </c>
      <c r="I24" s="8">
        <f>D24*F24</f>
        <v>55200</v>
      </c>
      <c r="J24" s="8">
        <f>D24*G24</f>
        <v>69000</v>
      </c>
      <c r="K24" s="8">
        <f>D24*H24</f>
        <v>86250</v>
      </c>
      <c r="L24" s="4" t="s">
        <v>120</v>
      </c>
      <c r="M24" s="4" t="s">
        <v>78</v>
      </c>
    </row>
    <row r="25" spans="1:13" ht="60" customHeight="1">
      <c r="A25" s="7">
        <v>21</v>
      </c>
      <c r="B25" s="4" t="s">
        <v>99</v>
      </c>
      <c r="C25" s="4" t="s">
        <v>121</v>
      </c>
      <c r="D25" s="5">
        <v>1</v>
      </c>
      <c r="E25" s="4" t="s">
        <v>97</v>
      </c>
      <c r="F25" s="5">
        <v>24000</v>
      </c>
      <c r="G25" s="5">
        <v>30000</v>
      </c>
      <c r="H25" s="5">
        <v>37500</v>
      </c>
      <c r="I25" s="8">
        <f>D25*F25</f>
        <v>24000</v>
      </c>
      <c r="J25" s="8">
        <f>D25*G25</f>
        <v>30000</v>
      </c>
      <c r="K25" s="8">
        <f>D25*H25</f>
        <v>37500</v>
      </c>
      <c r="L25" s="4" t="s">
        <v>122</v>
      </c>
      <c r="M25" s="4" t="s">
        <v>78</v>
      </c>
    </row>
    <row r="26" spans="1:13" ht="60" customHeight="1">
      <c r="A26" s="7">
        <v>22</v>
      </c>
      <c r="B26" s="4" t="s">
        <v>123</v>
      </c>
      <c r="C26" s="4" t="s">
        <v>124</v>
      </c>
      <c r="D26" s="5">
        <v>40</v>
      </c>
      <c r="E26" s="4" t="s">
        <v>125</v>
      </c>
      <c r="F26" s="5">
        <v>2800</v>
      </c>
      <c r="G26" s="5">
        <v>3500</v>
      </c>
      <c r="H26" s="5">
        <v>4375</v>
      </c>
      <c r="I26" s="8">
        <f>D26*F26</f>
        <v>112000</v>
      </c>
      <c r="J26" s="8">
        <f>D26*G26</f>
        <v>140000</v>
      </c>
      <c r="K26" s="8">
        <f>D26*H26</f>
        <v>175000</v>
      </c>
      <c r="L26" s="4" t="s">
        <v>126</v>
      </c>
      <c r="M26" s="4" t="s">
        <v>78</v>
      </c>
    </row>
    <row r="27" spans="1:13" ht="60" customHeight="1">
      <c r="A27" s="7">
        <v>23</v>
      </c>
      <c r="B27" s="4" t="s">
        <v>123</v>
      </c>
      <c r="C27" s="4" t="s">
        <v>127</v>
      </c>
      <c r="D27" s="7">
        <f>ROUNDUP('Исходные'!$B$9*(1+'Исходные'!$B$23),0)</f>
        <v>23</v>
      </c>
      <c r="E27" s="4" t="s">
        <v>12</v>
      </c>
      <c r="F27" s="5">
        <v>1600</v>
      </c>
      <c r="G27" s="5">
        <v>2000</v>
      </c>
      <c r="H27" s="5">
        <v>2500</v>
      </c>
      <c r="I27" s="8">
        <f>D27*F27</f>
        <v>36800</v>
      </c>
      <c r="J27" s="8">
        <f>D27*G27</f>
        <v>46000</v>
      </c>
      <c r="K27" s="8">
        <f>D27*H27</f>
        <v>57500</v>
      </c>
      <c r="L27" s="4" t="s">
        <v>128</v>
      </c>
      <c r="M27" s="4" t="s">
        <v>78</v>
      </c>
    </row>
    <row r="28" spans="1:13" ht="60" customHeight="1">
      <c r="A28" s="7">
        <v>24</v>
      </c>
      <c r="B28" s="4" t="s">
        <v>123</v>
      </c>
      <c r="C28" s="4" t="s">
        <v>129</v>
      </c>
      <c r="D28" s="7">
        <f>ROUNDUP(2*'Исходные'!$B$9*(1+'Исходные'!$B$23),0)</f>
        <v>46</v>
      </c>
      <c r="E28" s="4" t="s">
        <v>130</v>
      </c>
      <c r="F28" s="5">
        <v>1440</v>
      </c>
      <c r="G28" s="5">
        <v>1800</v>
      </c>
      <c r="H28" s="5">
        <v>2250</v>
      </c>
      <c r="I28" s="8">
        <f>D28*F28</f>
        <v>66240</v>
      </c>
      <c r="J28" s="8">
        <f>D28*G28</f>
        <v>82800</v>
      </c>
      <c r="K28" s="8">
        <f>D28*H28</f>
        <v>103500</v>
      </c>
      <c r="L28" s="4" t="s">
        <v>131</v>
      </c>
      <c r="M28" s="4" t="s">
        <v>78</v>
      </c>
    </row>
    <row r="29" spans="1:13" ht="60" customHeight="1">
      <c r="A29" s="7">
        <v>25</v>
      </c>
      <c r="B29" s="4" t="s">
        <v>123</v>
      </c>
      <c r="C29" s="4" t="s">
        <v>132</v>
      </c>
      <c r="D29" s="5">
        <v>1</v>
      </c>
      <c r="E29" s="4" t="s">
        <v>97</v>
      </c>
      <c r="F29" s="5">
        <v>72000</v>
      </c>
      <c r="G29" s="5">
        <v>90000</v>
      </c>
      <c r="H29" s="5">
        <v>112500</v>
      </c>
      <c r="I29" s="8">
        <f>D29*F29</f>
        <v>72000</v>
      </c>
      <c r="J29" s="8">
        <f>D29*G29</f>
        <v>90000</v>
      </c>
      <c r="K29" s="8">
        <f>D29*H29</f>
        <v>112500</v>
      </c>
      <c r="L29" s="4" t="s">
        <v>133</v>
      </c>
      <c r="M29" s="4" t="s">
        <v>78</v>
      </c>
    </row>
    <row r="30" spans="1:13" ht="60" customHeight="1">
      <c r="A30" s="7">
        <v>26</v>
      </c>
      <c r="B30" s="4" t="s">
        <v>123</v>
      </c>
      <c r="C30" s="4" t="s">
        <v>134</v>
      </c>
      <c r="D30" s="7">
        <f>ROUNDUP('Исходные'!$B$19*'Исходные'!$B$18,0)</f>
        <v>9</v>
      </c>
      <c r="E30" s="4" t="s">
        <v>12</v>
      </c>
      <c r="F30" s="5">
        <v>9600</v>
      </c>
      <c r="G30" s="5">
        <v>12000</v>
      </c>
      <c r="H30" s="5">
        <v>15000</v>
      </c>
      <c r="I30" s="8">
        <f>D30*F30</f>
        <v>86400</v>
      </c>
      <c r="J30" s="8">
        <f>D30*G30</f>
        <v>108000</v>
      </c>
      <c r="K30" s="8">
        <f>D30*H30</f>
        <v>135000</v>
      </c>
      <c r="L30" s="4" t="s">
        <v>135</v>
      </c>
      <c r="M30" s="4" t="s">
        <v>78</v>
      </c>
    </row>
    <row r="31" spans="1:13" ht="60" customHeight="1">
      <c r="A31" s="7">
        <v>27</v>
      </c>
      <c r="B31" s="4" t="s">
        <v>123</v>
      </c>
      <c r="C31" s="4" t="s">
        <v>136</v>
      </c>
      <c r="D31" s="7">
        <f>('Исходные'!$B$9+'Исходные'!$B$10+'Исходные'!$B$11+'Исходные'!$B$12)-'Исходные'!$B$9</f>
        <v>18.3</v>
      </c>
      <c r="E31" s="4" t="s">
        <v>12</v>
      </c>
      <c r="F31" s="5">
        <v>2800</v>
      </c>
      <c r="G31" s="5">
        <v>3500</v>
      </c>
      <c r="H31" s="5">
        <v>4375</v>
      </c>
      <c r="I31" s="8">
        <f>D31*F31</f>
        <v>51240.0</v>
      </c>
      <c r="J31" s="8">
        <f>D31*G31</f>
        <v>64050.0</v>
      </c>
      <c r="K31" s="8">
        <f>D31*H31</f>
        <v>80062.5</v>
      </c>
      <c r="L31" s="4" t="s">
        <v>137</v>
      </c>
      <c r="M31" s="4" t="s">
        <v>78</v>
      </c>
    </row>
    <row r="32" spans="1:13" ht="60" customHeight="1">
      <c r="A32" s="7">
        <v>28</v>
      </c>
      <c r="B32" s="4" t="s">
        <v>138</v>
      </c>
      <c r="C32" s="4" t="s">
        <v>139</v>
      </c>
      <c r="D32" s="5">
        <v>70</v>
      </c>
      <c r="E32" s="4" t="s">
        <v>33</v>
      </c>
      <c r="F32" s="5">
        <v>320</v>
      </c>
      <c r="G32" s="5">
        <v>400</v>
      </c>
      <c r="H32" s="5">
        <v>500</v>
      </c>
      <c r="I32" s="8">
        <f>D32*F32</f>
        <v>22400</v>
      </c>
      <c r="J32" s="8">
        <f>D32*G32</f>
        <v>28000</v>
      </c>
      <c r="K32" s="8">
        <f>D32*H32</f>
        <v>35000</v>
      </c>
      <c r="L32" s="4" t="s">
        <v>140</v>
      </c>
      <c r="M32" s="4" t="s">
        <v>78</v>
      </c>
    </row>
    <row r="33" spans="1:13" ht="60" customHeight="1">
      <c r="A33" s="7">
        <v>29</v>
      </c>
      <c r="B33" s="4" t="s">
        <v>138</v>
      </c>
      <c r="C33" s="4" t="s">
        <v>141</v>
      </c>
      <c r="D33" s="5">
        <v>180</v>
      </c>
      <c r="E33" s="4" t="s">
        <v>33</v>
      </c>
      <c r="F33" s="5">
        <v>520</v>
      </c>
      <c r="G33" s="5">
        <v>650</v>
      </c>
      <c r="H33" s="5">
        <v>812</v>
      </c>
      <c r="I33" s="8">
        <f>D33*F33</f>
        <v>93600</v>
      </c>
      <c r="J33" s="8">
        <f>D33*G33</f>
        <v>117000</v>
      </c>
      <c r="K33" s="8">
        <f>D33*H33</f>
        <v>146160</v>
      </c>
      <c r="L33" s="4" t="s">
        <v>142</v>
      </c>
      <c r="M33" s="4" t="s">
        <v>78</v>
      </c>
    </row>
    <row r="34" spans="1:13" ht="60" customHeight="1">
      <c r="A34" s="7">
        <v>30</v>
      </c>
      <c r="B34" s="4" t="s">
        <v>138</v>
      </c>
      <c r="C34" s="4" t="s">
        <v>143</v>
      </c>
      <c r="D34" s="5">
        <v>20</v>
      </c>
      <c r="E34" s="4" t="s">
        <v>33</v>
      </c>
      <c r="F34" s="5">
        <v>1240</v>
      </c>
      <c r="G34" s="5">
        <v>1550</v>
      </c>
      <c r="H34" s="5">
        <v>1938</v>
      </c>
      <c r="I34" s="8">
        <f>D34*F34</f>
        <v>24800</v>
      </c>
      <c r="J34" s="8">
        <f>D34*G34</f>
        <v>31000</v>
      </c>
      <c r="K34" s="8">
        <f>D34*H34</f>
        <v>38760</v>
      </c>
      <c r="L34" s="4" t="s">
        <v>144</v>
      </c>
      <c r="M34" s="4" t="s">
        <v>78</v>
      </c>
    </row>
    <row r="35" spans="1:13" ht="60" customHeight="1">
      <c r="A35" s="7">
        <v>31</v>
      </c>
      <c r="B35" s="4" t="s">
        <v>138</v>
      </c>
      <c r="C35" s="4" t="s">
        <v>145</v>
      </c>
      <c r="D35" s="5">
        <v>1</v>
      </c>
      <c r="E35" s="4" t="s">
        <v>97</v>
      </c>
      <c r="F35" s="5">
        <v>136000</v>
      </c>
      <c r="G35" s="5">
        <v>170000</v>
      </c>
      <c r="H35" s="5">
        <v>212500</v>
      </c>
      <c r="I35" s="8">
        <f>D35*F35</f>
        <v>136000</v>
      </c>
      <c r="J35" s="8">
        <f>D35*G35</f>
        <v>170000</v>
      </c>
      <c r="K35" s="8">
        <f>D35*H35</f>
        <v>212500</v>
      </c>
      <c r="L35" s="4" t="s">
        <v>146</v>
      </c>
      <c r="M35" s="4" t="s">
        <v>78</v>
      </c>
    </row>
    <row r="36" spans="1:13" ht="60" customHeight="1">
      <c r="A36" s="7">
        <v>32</v>
      </c>
      <c r="B36" s="4" t="s">
        <v>138</v>
      </c>
      <c r="C36" s="4" t="s">
        <v>147</v>
      </c>
      <c r="D36" s="5">
        <v>1</v>
      </c>
      <c r="E36" s="4" t="s">
        <v>97</v>
      </c>
      <c r="F36" s="5">
        <v>36000</v>
      </c>
      <c r="G36" s="5">
        <v>45000</v>
      </c>
      <c r="H36" s="5">
        <v>56250</v>
      </c>
      <c r="I36" s="8">
        <f>D36*F36</f>
        <v>36000</v>
      </c>
      <c r="J36" s="8">
        <f>D36*G36</f>
        <v>45000</v>
      </c>
      <c r="K36" s="8">
        <f>D36*H36</f>
        <v>56250</v>
      </c>
      <c r="L36" s="4" t="s">
        <v>148</v>
      </c>
      <c r="M36" s="4" t="s">
        <v>78</v>
      </c>
    </row>
    <row r="37" spans="1:13" ht="60" customHeight="1">
      <c r="A37" s="7">
        <v>33</v>
      </c>
      <c r="B37" s="4" t="s">
        <v>138</v>
      </c>
      <c r="C37" s="4" t="s">
        <v>149</v>
      </c>
      <c r="D37" s="5">
        <v>32</v>
      </c>
      <c r="E37" s="4" t="s">
        <v>150</v>
      </c>
      <c r="F37" s="5">
        <v>1600</v>
      </c>
      <c r="G37" s="5">
        <v>2000</v>
      </c>
      <c r="H37" s="5">
        <v>2500</v>
      </c>
      <c r="I37" s="8">
        <f>D37*F37</f>
        <v>51200</v>
      </c>
      <c r="J37" s="8">
        <f>D37*G37</f>
        <v>64000</v>
      </c>
      <c r="K37" s="8">
        <f>D37*H37</f>
        <v>80000</v>
      </c>
      <c r="L37" s="4" t="s">
        <v>151</v>
      </c>
      <c r="M37" s="4" t="s">
        <v>78</v>
      </c>
    </row>
    <row r="38" spans="1:13" ht="60" customHeight="1">
      <c r="A38" s="7">
        <v>34</v>
      </c>
      <c r="B38" s="4" t="s">
        <v>138</v>
      </c>
      <c r="C38" s="4" t="s">
        <v>152</v>
      </c>
      <c r="D38" s="5">
        <v>1</v>
      </c>
      <c r="E38" s="4" t="s">
        <v>97</v>
      </c>
      <c r="F38" s="5">
        <v>80000</v>
      </c>
      <c r="G38" s="5">
        <v>100000</v>
      </c>
      <c r="H38" s="5">
        <v>125000</v>
      </c>
      <c r="I38" s="8">
        <f>D38*F38</f>
        <v>80000</v>
      </c>
      <c r="J38" s="8">
        <f>D38*G38</f>
        <v>100000</v>
      </c>
      <c r="K38" s="8">
        <f>D38*H38</f>
        <v>125000</v>
      </c>
      <c r="L38" s="4" t="s">
        <v>153</v>
      </c>
      <c r="M38" s="4" t="s">
        <v>78</v>
      </c>
    </row>
    <row r="39" spans="1:13" ht="60" customHeight="1">
      <c r="A39" s="7">
        <v>35</v>
      </c>
      <c r="B39" s="4" t="s">
        <v>154</v>
      </c>
      <c r="C39" s="4" t="s">
        <v>155</v>
      </c>
      <c r="D39" s="5">
        <v>40</v>
      </c>
      <c r="E39" s="4" t="s">
        <v>33</v>
      </c>
      <c r="F39" s="5">
        <v>560</v>
      </c>
      <c r="G39" s="5">
        <v>700</v>
      </c>
      <c r="H39" s="5">
        <v>875</v>
      </c>
      <c r="I39" s="8">
        <f>D39*F39</f>
        <v>22400</v>
      </c>
      <c r="J39" s="8">
        <f>D39*G39</f>
        <v>28000</v>
      </c>
      <c r="K39" s="8">
        <f>D39*H39</f>
        <v>35000</v>
      </c>
      <c r="L39" s="4" t="s">
        <v>156</v>
      </c>
      <c r="M39" s="4" t="s">
        <v>78</v>
      </c>
    </row>
    <row r="40" spans="1:13" ht="60" customHeight="1">
      <c r="A40" s="7">
        <v>36</v>
      </c>
      <c r="B40" s="4" t="s">
        <v>154</v>
      </c>
      <c r="C40" s="4" t="s">
        <v>157</v>
      </c>
      <c r="D40" s="5">
        <v>1</v>
      </c>
      <c r="E40" s="4" t="s">
        <v>97</v>
      </c>
      <c r="F40" s="5">
        <v>64000</v>
      </c>
      <c r="G40" s="5">
        <v>80000</v>
      </c>
      <c r="H40" s="5">
        <v>100000</v>
      </c>
      <c r="I40" s="8">
        <f>D40*F40</f>
        <v>64000</v>
      </c>
      <c r="J40" s="8">
        <f>D40*G40</f>
        <v>80000</v>
      </c>
      <c r="K40" s="8">
        <f>D40*H40</f>
        <v>100000</v>
      </c>
      <c r="L40" s="4" t="s">
        <v>158</v>
      </c>
      <c r="M40" s="4" t="s">
        <v>78</v>
      </c>
    </row>
    <row r="41" spans="1:13" ht="60" customHeight="1">
      <c r="A41" s="7">
        <v>37</v>
      </c>
      <c r="B41" s="4" t="s">
        <v>154</v>
      </c>
      <c r="C41" s="4" t="s">
        <v>159</v>
      </c>
      <c r="D41" s="5">
        <v>1</v>
      </c>
      <c r="E41" s="4" t="s">
        <v>97</v>
      </c>
      <c r="F41" s="5">
        <v>24000</v>
      </c>
      <c r="G41" s="5">
        <v>30000</v>
      </c>
      <c r="H41" s="5">
        <v>37500</v>
      </c>
      <c r="I41" s="8">
        <f>D41*F41</f>
        <v>24000</v>
      </c>
      <c r="J41" s="8">
        <f>D41*G41</f>
        <v>30000</v>
      </c>
      <c r="K41" s="8">
        <f>D41*H41</f>
        <v>37500</v>
      </c>
      <c r="L41" s="4" t="s">
        <v>160</v>
      </c>
      <c r="M41" s="4" t="s">
        <v>78</v>
      </c>
    </row>
    <row r="42" spans="1:13" ht="60" customHeight="1">
      <c r="A42" s="7">
        <v>38</v>
      </c>
      <c r="B42" s="4" t="s">
        <v>154</v>
      </c>
      <c r="C42" s="4" t="s">
        <v>161</v>
      </c>
      <c r="D42" s="5">
        <v>1</v>
      </c>
      <c r="E42" s="4" t="s">
        <v>97</v>
      </c>
      <c r="F42" s="5">
        <v>9600</v>
      </c>
      <c r="G42" s="5">
        <v>12000</v>
      </c>
      <c r="H42" s="5">
        <v>15000</v>
      </c>
      <c r="I42" s="8">
        <f>D42*F42</f>
        <v>9600</v>
      </c>
      <c r="J42" s="8">
        <f>D42*G42</f>
        <v>12000</v>
      </c>
      <c r="K42" s="8">
        <f>D42*H42</f>
        <v>15000</v>
      </c>
      <c r="L42" s="4" t="s">
        <v>162</v>
      </c>
      <c r="M42" s="4" t="s">
        <v>78</v>
      </c>
    </row>
    <row r="43" spans="1:13" ht="60" customHeight="1">
      <c r="A43" s="7">
        <v>39</v>
      </c>
      <c r="B43" s="4" t="s">
        <v>154</v>
      </c>
      <c r="C43" s="4" t="s">
        <v>163</v>
      </c>
      <c r="D43" s="5">
        <v>1</v>
      </c>
      <c r="E43" s="4" t="s">
        <v>97</v>
      </c>
      <c r="F43" s="5">
        <v>56000</v>
      </c>
      <c r="G43" s="5">
        <v>70000</v>
      </c>
      <c r="H43" s="5">
        <v>87500</v>
      </c>
      <c r="I43" s="8">
        <f>D43*F43</f>
        <v>56000</v>
      </c>
      <c r="J43" s="8">
        <f>D43*G43</f>
        <v>70000</v>
      </c>
      <c r="K43" s="8">
        <f>D43*H43</f>
        <v>87500</v>
      </c>
      <c r="L43" s="4" t="s">
        <v>164</v>
      </c>
      <c r="M43" s="4" t="s">
        <v>78</v>
      </c>
    </row>
    <row r="44" spans="1:13" ht="60" customHeight="1">
      <c r="A44" s="7">
        <v>40</v>
      </c>
      <c r="B44" s="4" t="s">
        <v>165</v>
      </c>
      <c r="C44" s="4" t="s">
        <v>166</v>
      </c>
      <c r="D44" s="5">
        <v>1</v>
      </c>
      <c r="E44" s="4" t="s">
        <v>97</v>
      </c>
      <c r="F44" s="5">
        <v>120000</v>
      </c>
      <c r="G44" s="5">
        <v>150000</v>
      </c>
      <c r="H44" s="5">
        <v>187500</v>
      </c>
      <c r="I44" s="8">
        <f>D44*F44</f>
        <v>120000</v>
      </c>
      <c r="J44" s="8">
        <f>D44*G44</f>
        <v>150000</v>
      </c>
      <c r="K44" s="8">
        <f>D44*H44</f>
        <v>187500</v>
      </c>
      <c r="L44" s="4" t="s">
        <v>167</v>
      </c>
      <c r="M44" s="4" t="s">
        <v>78</v>
      </c>
    </row>
    <row r="45" spans="1:13" ht="60" customHeight="1">
      <c r="A45" s="7">
        <v>41</v>
      </c>
      <c r="B45" s="4" t="s">
        <v>165</v>
      </c>
      <c r="C45" s="4" t="s">
        <v>168</v>
      </c>
      <c r="D45" s="5">
        <v>1</v>
      </c>
      <c r="E45" s="4" t="s">
        <v>97</v>
      </c>
      <c r="F45" s="5">
        <v>36000</v>
      </c>
      <c r="G45" s="5">
        <v>45000</v>
      </c>
      <c r="H45" s="5">
        <v>56250</v>
      </c>
      <c r="I45" s="8">
        <f>D45*F45</f>
        <v>36000</v>
      </c>
      <c r="J45" s="8">
        <f>D45*G45</f>
        <v>45000</v>
      </c>
      <c r="K45" s="8">
        <f>D45*H45</f>
        <v>56250</v>
      </c>
      <c r="L45" s="4" t="s">
        <v>169</v>
      </c>
      <c r="M45" s="4" t="s">
        <v>78</v>
      </c>
    </row>
    <row r="46" spans="1:13" ht="60" customHeight="1">
      <c r="A46" s="7">
        <v>42</v>
      </c>
      <c r="B46" s="4" t="s">
        <v>165</v>
      </c>
      <c r="C46" s="4" t="s">
        <v>170</v>
      </c>
      <c r="D46" s="5">
        <v>1</v>
      </c>
      <c r="E46" s="4" t="s">
        <v>97</v>
      </c>
      <c r="F46" s="5">
        <v>52000</v>
      </c>
      <c r="G46" s="5">
        <v>65000</v>
      </c>
      <c r="H46" s="5">
        <v>81250</v>
      </c>
      <c r="I46" s="8">
        <f>D46*F46</f>
        <v>52000</v>
      </c>
      <c r="J46" s="8">
        <f>D46*G46</f>
        <v>65000</v>
      </c>
      <c r="K46" s="8">
        <f>D46*H46</f>
        <v>81250</v>
      </c>
      <c r="L46" s="4" t="s">
        <v>171</v>
      </c>
      <c r="M46" s="4" t="s">
        <v>78</v>
      </c>
    </row>
    <row r="47" spans="1:13" ht="60" customHeight="1">
      <c r="A47" s="7">
        <v>43</v>
      </c>
      <c r="B47" s="4" t="s">
        <v>165</v>
      </c>
      <c r="C47" s="4" t="s">
        <v>172</v>
      </c>
      <c r="D47" s="5">
        <v>1</v>
      </c>
      <c r="E47" s="4" t="s">
        <v>97</v>
      </c>
      <c r="F47" s="5">
        <v>68000</v>
      </c>
      <c r="G47" s="5">
        <v>85000</v>
      </c>
      <c r="H47" s="5">
        <v>106250</v>
      </c>
      <c r="I47" s="8">
        <f>D47*F47</f>
        <v>68000</v>
      </c>
      <c r="J47" s="8">
        <f>D47*G47</f>
        <v>85000</v>
      </c>
      <c r="K47" s="8">
        <f>D47*H47</f>
        <v>106250</v>
      </c>
      <c r="L47" s="4" t="s">
        <v>173</v>
      </c>
      <c r="M47" s="4" t="s">
        <v>78</v>
      </c>
    </row>
    <row r="48" spans="1:13" ht="60" customHeight="1">
      <c r="A48" s="7">
        <v>44</v>
      </c>
      <c r="B48" s="4" t="s">
        <v>165</v>
      </c>
      <c r="C48" s="4" t="s">
        <v>174</v>
      </c>
      <c r="D48" s="5">
        <v>1</v>
      </c>
      <c r="E48" s="4" t="s">
        <v>125</v>
      </c>
      <c r="F48" s="5">
        <v>20000</v>
      </c>
      <c r="G48" s="5">
        <v>25000</v>
      </c>
      <c r="H48" s="5">
        <v>31250</v>
      </c>
      <c r="I48" s="8">
        <f>D48*F48</f>
        <v>20000</v>
      </c>
      <c r="J48" s="8">
        <f>D48*G48</f>
        <v>25000</v>
      </c>
      <c r="K48" s="8">
        <f>D48*H48</f>
        <v>31250</v>
      </c>
      <c r="L48" s="4"/>
      <c r="M48" s="4" t="s">
        <v>78</v>
      </c>
    </row>
    <row r="49" spans="1:13" ht="60" customHeight="1">
      <c r="A49" s="7">
        <v>45</v>
      </c>
      <c r="B49" s="4" t="s">
        <v>165</v>
      </c>
      <c r="C49" s="4" t="s">
        <v>175</v>
      </c>
      <c r="D49" s="5">
        <v>1</v>
      </c>
      <c r="E49" s="4" t="s">
        <v>97</v>
      </c>
      <c r="F49" s="5">
        <v>28000</v>
      </c>
      <c r="G49" s="5">
        <v>35000</v>
      </c>
      <c r="H49" s="5">
        <v>43750</v>
      </c>
      <c r="I49" s="8">
        <f>D49*F49</f>
        <v>28000</v>
      </c>
      <c r="J49" s="8">
        <f>D49*G49</f>
        <v>35000</v>
      </c>
      <c r="K49" s="8">
        <f>D49*H49</f>
        <v>43750</v>
      </c>
      <c r="L49" s="4"/>
      <c r="M49" s="4" t="s">
        <v>78</v>
      </c>
    </row>
    <row r="50" spans="1:13" ht="60" customHeight="1">
      <c r="A50" s="7">
        <v>46</v>
      </c>
      <c r="B50" s="4" t="s">
        <v>165</v>
      </c>
      <c r="C50" s="4" t="s">
        <v>176</v>
      </c>
      <c r="D50" s="5">
        <v>1</v>
      </c>
      <c r="E50" s="4" t="s">
        <v>97</v>
      </c>
      <c r="F50" s="5">
        <v>48000</v>
      </c>
      <c r="G50" s="5">
        <v>60000</v>
      </c>
      <c r="H50" s="5">
        <v>75000</v>
      </c>
      <c r="I50" s="8">
        <f>D50*F50</f>
        <v>48000</v>
      </c>
      <c r="J50" s="8">
        <f>D50*G50</f>
        <v>60000</v>
      </c>
      <c r="K50" s="8">
        <f>D50*H50</f>
        <v>75000</v>
      </c>
      <c r="L50" s="4" t="s">
        <v>177</v>
      </c>
      <c r="M50" s="4" t="s">
        <v>78</v>
      </c>
    </row>
    <row r="51" spans="1:13" ht="60" customHeight="1">
      <c r="A51" s="7">
        <v>47</v>
      </c>
      <c r="B51" s="4" t="s">
        <v>165</v>
      </c>
      <c r="C51" s="4" t="s">
        <v>178</v>
      </c>
      <c r="D51" s="5">
        <v>1</v>
      </c>
      <c r="E51" s="4" t="s">
        <v>97</v>
      </c>
      <c r="F51" s="5">
        <v>44000</v>
      </c>
      <c r="G51" s="5">
        <v>55000</v>
      </c>
      <c r="H51" s="5">
        <v>68750</v>
      </c>
      <c r="I51" s="8">
        <f>D51*F51</f>
        <v>44000</v>
      </c>
      <c r="J51" s="8">
        <f>D51*G51</f>
        <v>55000</v>
      </c>
      <c r="K51" s="8">
        <f>D51*H51</f>
        <v>68750</v>
      </c>
      <c r="L51" s="4" t="s">
        <v>179</v>
      </c>
      <c r="M51" s="4" t="s">
        <v>78</v>
      </c>
    </row>
    <row r="52" spans="1:13" ht="60" customHeight="1">
      <c r="A52" s="7">
        <v>48</v>
      </c>
      <c r="B52" s="4" t="s">
        <v>180</v>
      </c>
      <c r="C52" s="4" t="s">
        <v>181</v>
      </c>
      <c r="D52" s="5">
        <v>2</v>
      </c>
      <c r="E52" s="4" t="s">
        <v>97</v>
      </c>
      <c r="F52" s="5">
        <v>152000</v>
      </c>
      <c r="G52" s="5">
        <v>190000</v>
      </c>
      <c r="H52" s="5">
        <v>266000</v>
      </c>
      <c r="I52" s="8">
        <f>D52*F52</f>
        <v>304000</v>
      </c>
      <c r="J52" s="8">
        <f>D52*G52</f>
        <v>380000</v>
      </c>
      <c r="K52" s="8">
        <f>D52*H52</f>
        <v>532000</v>
      </c>
      <c r="L52" s="4" t="s">
        <v>182</v>
      </c>
      <c r="M52" s="4" t="s">
        <v>78</v>
      </c>
    </row>
    <row r="53" spans="1:13" ht="60" customHeight="1">
      <c r="A53" s="7">
        <v>49</v>
      </c>
      <c r="B53" s="4" t="s">
        <v>183</v>
      </c>
      <c r="C53" s="4" t="s">
        <v>184</v>
      </c>
      <c r="D53" s="5">
        <v>1</v>
      </c>
      <c r="E53" s="4" t="s">
        <v>97</v>
      </c>
      <c r="F53" s="5">
        <v>552500</v>
      </c>
      <c r="G53" s="5">
        <v>650000</v>
      </c>
      <c r="H53" s="5">
        <v>877500</v>
      </c>
      <c r="I53" s="8">
        <f>D53*F53</f>
        <v>552500</v>
      </c>
      <c r="J53" s="8">
        <f>D53*G53</f>
        <v>650000</v>
      </c>
      <c r="K53" s="8">
        <f>D53*H53</f>
        <v>877500</v>
      </c>
      <c r="L53" s="4" t="s">
        <v>185</v>
      </c>
      <c r="M53" s="4" t="s">
        <v>78</v>
      </c>
    </row>
    <row r="54" spans="1:13" ht="60" customHeight="1">
      <c r="A54" s="7">
        <v>50</v>
      </c>
      <c r="B54" s="4" t="s">
        <v>183</v>
      </c>
      <c r="C54" s="4" t="s">
        <v>186</v>
      </c>
      <c r="D54" s="5">
        <v>1</v>
      </c>
      <c r="E54" s="4" t="s">
        <v>125</v>
      </c>
      <c r="F54" s="5">
        <v>80000</v>
      </c>
      <c r="G54" s="5">
        <v>100000</v>
      </c>
      <c r="H54" s="5">
        <v>125000</v>
      </c>
      <c r="I54" s="8">
        <f>D54*F54</f>
        <v>80000</v>
      </c>
      <c r="J54" s="8">
        <f>D54*G54</f>
        <v>100000</v>
      </c>
      <c r="K54" s="8">
        <f>D54*H54</f>
        <v>125000</v>
      </c>
      <c r="L54" s="4" t="s">
        <v>187</v>
      </c>
      <c r="M54" s="4" t="s">
        <v>78</v>
      </c>
    </row>
    <row r="55" spans="1:13" ht="60" customHeight="1">
      <c r="A55" s="7">
        <v>51</v>
      </c>
      <c r="B55" s="4" t="s">
        <v>183</v>
      </c>
      <c r="C55" s="4" t="s">
        <v>188</v>
      </c>
      <c r="D55" s="5">
        <v>1</v>
      </c>
      <c r="E55" s="4" t="s">
        <v>125</v>
      </c>
      <c r="F55" s="5">
        <v>88000</v>
      </c>
      <c r="G55" s="5">
        <v>110000</v>
      </c>
      <c r="H55" s="5">
        <v>137500</v>
      </c>
      <c r="I55" s="8">
        <f>D55*F55</f>
        <v>88000</v>
      </c>
      <c r="J55" s="8">
        <f>D55*G55</f>
        <v>110000</v>
      </c>
      <c r="K55" s="8">
        <f>D55*H55</f>
        <v>137500</v>
      </c>
      <c r="L55" s="4" t="s">
        <v>189</v>
      </c>
      <c r="M55" s="4" t="s">
        <v>78</v>
      </c>
    </row>
    <row r="56" spans="1:13" ht="60" customHeight="1">
      <c r="A56" s="7">
        <v>52</v>
      </c>
      <c r="B56" s="4" t="s">
        <v>183</v>
      </c>
      <c r="C56" s="4" t="s">
        <v>190</v>
      </c>
      <c r="D56" s="5">
        <v>1</v>
      </c>
      <c r="E56" s="4" t="s">
        <v>125</v>
      </c>
      <c r="F56" s="5">
        <v>152000</v>
      </c>
      <c r="G56" s="5">
        <v>190000</v>
      </c>
      <c r="H56" s="5">
        <v>237500</v>
      </c>
      <c r="I56" s="8">
        <f>D56*F56</f>
        <v>152000</v>
      </c>
      <c r="J56" s="8">
        <f>D56*G56</f>
        <v>190000</v>
      </c>
      <c r="K56" s="8">
        <f>D56*H56</f>
        <v>237500</v>
      </c>
      <c r="L56" s="4" t="s">
        <v>191</v>
      </c>
      <c r="M56" s="4" t="s">
        <v>78</v>
      </c>
    </row>
    <row r="57" spans="1:13" ht="60" customHeight="1">
      <c r="A57" s="7">
        <v>53</v>
      </c>
      <c r="B57" s="4" t="s">
        <v>183</v>
      </c>
      <c r="C57" s="4" t="s">
        <v>192</v>
      </c>
      <c r="D57" s="5">
        <v>1</v>
      </c>
      <c r="E57" s="4" t="s">
        <v>97</v>
      </c>
      <c r="F57" s="5">
        <v>184000</v>
      </c>
      <c r="G57" s="5">
        <v>230000</v>
      </c>
      <c r="H57" s="5">
        <v>287500</v>
      </c>
      <c r="I57" s="8">
        <f>D57*F57</f>
        <v>184000</v>
      </c>
      <c r="J57" s="8">
        <f>D57*G57</f>
        <v>230000</v>
      </c>
      <c r="K57" s="8">
        <f>D57*H57</f>
        <v>287500</v>
      </c>
      <c r="L57" s="4" t="s">
        <v>193</v>
      </c>
      <c r="M57" s="4" t="s">
        <v>78</v>
      </c>
    </row>
    <row r="58" spans="1:13" ht="60" customHeight="1">
      <c r="A58" s="7">
        <v>54</v>
      </c>
      <c r="B58" s="4" t="s">
        <v>183</v>
      </c>
      <c r="C58" s="4" t="s">
        <v>194</v>
      </c>
      <c r="D58" s="5">
        <v>1</v>
      </c>
      <c r="E58" s="4" t="s">
        <v>97</v>
      </c>
      <c r="F58" s="5">
        <v>56000</v>
      </c>
      <c r="G58" s="5">
        <v>70000</v>
      </c>
      <c r="H58" s="5">
        <v>87500</v>
      </c>
      <c r="I58" s="8">
        <f>D58*F58</f>
        <v>56000</v>
      </c>
      <c r="J58" s="8">
        <f>D58*G58</f>
        <v>70000</v>
      </c>
      <c r="K58" s="8">
        <f>D58*H58</f>
        <v>87500</v>
      </c>
      <c r="L58" s="4" t="s">
        <v>195</v>
      </c>
      <c r="M58" s="4" t="s">
        <v>78</v>
      </c>
    </row>
    <row r="59" spans="1:13" ht="60" customHeight="1">
      <c r="A59" s="7">
        <v>55</v>
      </c>
      <c r="B59" s="4" t="s">
        <v>183</v>
      </c>
      <c r="C59" s="4" t="s">
        <v>196</v>
      </c>
      <c r="D59" s="5">
        <v>1</v>
      </c>
      <c r="E59" s="4" t="s">
        <v>97</v>
      </c>
      <c r="F59" s="5">
        <v>44000</v>
      </c>
      <c r="G59" s="5">
        <v>55000</v>
      </c>
      <c r="H59" s="5">
        <v>68750</v>
      </c>
      <c r="I59" s="8">
        <f>D59*F59</f>
        <v>44000</v>
      </c>
      <c r="J59" s="8">
        <f>D59*G59</f>
        <v>55000</v>
      </c>
      <c r="K59" s="8">
        <f>D59*H59</f>
        <v>68750</v>
      </c>
      <c r="L59" s="4" t="s">
        <v>197</v>
      </c>
      <c r="M59" s="4" t="s">
        <v>78</v>
      </c>
    </row>
    <row r="60" spans="1:13" ht="60" customHeight="1">
      <c r="A60" s="7">
        <v>56</v>
      </c>
      <c r="B60" s="4" t="s">
        <v>183</v>
      </c>
      <c r="C60" s="4" t="s">
        <v>198</v>
      </c>
      <c r="D60" s="5">
        <v>1</v>
      </c>
      <c r="E60" s="4" t="s">
        <v>97</v>
      </c>
      <c r="F60" s="5">
        <v>72000</v>
      </c>
      <c r="G60" s="5">
        <v>90000</v>
      </c>
      <c r="H60" s="5">
        <v>112500</v>
      </c>
      <c r="I60" s="8">
        <f>D60*F60</f>
        <v>72000</v>
      </c>
      <c r="J60" s="8">
        <f>D60*G60</f>
        <v>90000</v>
      </c>
      <c r="K60" s="8">
        <f>D60*H60</f>
        <v>112500</v>
      </c>
      <c r="L60" s="4" t="s">
        <v>199</v>
      </c>
      <c r="M60" s="4" t="s">
        <v>78</v>
      </c>
    </row>
    <row r="61" spans="1:13" ht="60" customHeight="1">
      <c r="A61" s="7">
        <v>57</v>
      </c>
      <c r="B61" s="4" t="s">
        <v>200</v>
      </c>
      <c r="C61" s="4" t="s">
        <v>201</v>
      </c>
      <c r="D61" s="5">
        <v>1</v>
      </c>
      <c r="E61" s="4" t="s">
        <v>202</v>
      </c>
      <c r="F61" s="5">
        <v>104000</v>
      </c>
      <c r="G61" s="5">
        <v>130000</v>
      </c>
      <c r="H61" s="5">
        <v>162500</v>
      </c>
      <c r="I61" s="8">
        <f>D61*F61</f>
        <v>104000</v>
      </c>
      <c r="J61" s="8">
        <f>D61*G61</f>
        <v>130000</v>
      </c>
      <c r="K61" s="8">
        <f>D61*H61</f>
        <v>162500</v>
      </c>
      <c r="L61" s="4" t="s">
        <v>203</v>
      </c>
      <c r="M61" s="4" t="s">
        <v>78</v>
      </c>
    </row>
    <row r="62" spans="1:13" ht="60" customHeight="1">
      <c r="A62" s="7">
        <v>58</v>
      </c>
      <c r="B62" s="4" t="s">
        <v>200</v>
      </c>
      <c r="C62" s="4" t="s">
        <v>204</v>
      </c>
      <c r="D62" s="5">
        <v>1</v>
      </c>
      <c r="E62" s="4" t="s">
        <v>202</v>
      </c>
      <c r="F62" s="5">
        <v>40000</v>
      </c>
      <c r="G62" s="5">
        <v>50000</v>
      </c>
      <c r="H62" s="5">
        <v>62500</v>
      </c>
      <c r="I62" s="8">
        <f>D62*F62</f>
        <v>40000</v>
      </c>
      <c r="J62" s="8">
        <f>D62*G62</f>
        <v>50000</v>
      </c>
      <c r="K62" s="8">
        <f>D62*H62</f>
        <v>62500</v>
      </c>
      <c r="L62" s="4" t="s">
        <v>205</v>
      </c>
      <c r="M62" s="4" t="s">
        <v>78</v>
      </c>
    </row>
    <row r="63" spans="1:13">
      <c r="C63" s="3" t="s">
        <v>206</v>
      </c>
      <c r="I63" s="9">
        <f>SUM(I5:I62)</f>
        <v>6253740.0</v>
      </c>
      <c r="J63" s="9">
        <f>SUM(J5:J62)</f>
        <v>7264050.0</v>
      </c>
      <c r="K63" s="9">
        <f>SUM(K5:K62)</f>
        <v>8689482.5</v>
      </c>
    </row>
  </sheetData>
  <autoFilter ref="A4:M62"/>
  <mergeCells count="2">
    <mergeCell ref="A1:M1"/>
    <mergeCell ref="A2:M3"/>
  </mergeCells>
  <pageMargins left="0.3" right="0.3" top="0.4" bottom="0.4" header="0.3" footer="0.3"/>
  <pageSetup paperSize="9" fitToHeight="0" orientation="landscape"/>
  <headerFooter>
    <oddFooter>&amp;LСанды-кала 2 · 13.10.2026&amp;CПредварительно&amp;RСтраница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5" width="21.7109375" customWidth="1"/>
  </cols>
  <sheetData>
    <row r="1" spans="1:5">
      <c r="A1" s="1" t="s">
        <v>207</v>
      </c>
      <c r="B1" s="1"/>
      <c r="C1" s="1"/>
      <c r="D1" s="1"/>
      <c r="E1" s="1"/>
    </row>
    <row r="2" spans="1:5" ht="23" customHeight="1">
      <c r="A2" s="2" t="s">
        <v>208</v>
      </c>
      <c r="B2" s="2"/>
      <c r="C2" s="2"/>
      <c r="D2" s="2"/>
      <c r="E2" s="2"/>
    </row>
    <row r="3" spans="1:5" ht="22" customHeight="1">
      <c r="A3" s="2"/>
      <c r="B3" s="2"/>
      <c r="C3" s="2"/>
      <c r="D3" s="2"/>
      <c r="E3" s="2"/>
    </row>
    <row r="4" spans="1:5">
      <c r="A4" s="3" t="s">
        <v>209</v>
      </c>
      <c r="B4" s="3" t="s">
        <v>210</v>
      </c>
      <c r="C4" s="3" t="s">
        <v>211</v>
      </c>
      <c r="D4" s="3" t="s">
        <v>212</v>
      </c>
      <c r="E4" s="3" t="s">
        <v>213</v>
      </c>
    </row>
    <row r="5" spans="1:5" ht="32" customHeight="1">
      <c r="A5" s="4" t="s">
        <v>70</v>
      </c>
      <c r="B5" s="8">
        <f>SUMIF('Покупки'!$B$5:$B$62,A5,'Покупки'!$I$5:$I$62)</f>
        <v>2050000</v>
      </c>
      <c r="C5" s="8">
        <f>SUMIF('Покупки'!$B$5:$B$62,A5,'Покупки'!$J$5:$J$62)</f>
        <v>2050000</v>
      </c>
      <c r="D5" s="8">
        <f>SUMIF('Покупки'!$B$5:$B$62,A5,'Покупки'!$K$5:$K$62)</f>
        <v>2050000</v>
      </c>
      <c r="E5" s="5">
        <v>2050000</v>
      </c>
    </row>
    <row r="6" spans="1:5" ht="32" customHeight="1">
      <c r="A6" s="4" t="s">
        <v>74</v>
      </c>
      <c r="B6" s="8">
        <f>SUMIF('Покупки'!$B$5:$B$62,A6,'Покупки'!$I$5:$I$62)</f>
        <v>445360</v>
      </c>
      <c r="C6" s="8">
        <f>SUMIF('Покупки'!$B$5:$B$62,A6,'Покупки'!$J$5:$J$62)</f>
        <v>556700</v>
      </c>
      <c r="D6" s="8">
        <f>SUMIF('Покупки'!$B$5:$B$62,A6,'Покупки'!$K$5:$K$62)</f>
        <v>695875</v>
      </c>
      <c r="E6" s="5">
        <v>480000</v>
      </c>
    </row>
    <row r="7" spans="1:5" ht="32" customHeight="1">
      <c r="A7" s="4" t="s">
        <v>99</v>
      </c>
      <c r="B7" s="8">
        <f>SUMIF('Покупки'!$B$5:$B$62,A7,'Покупки'!$I$5:$I$62)</f>
        <v>621200</v>
      </c>
      <c r="C7" s="8">
        <f>SUMIF('Покупки'!$B$5:$B$62,A7,'Покупки'!$J$5:$J$62)</f>
        <v>776500</v>
      </c>
      <c r="D7" s="8">
        <f>SUMIF('Покупки'!$B$5:$B$62,A7,'Покупки'!$K$5:$K$62)</f>
        <v>970625</v>
      </c>
      <c r="E7" s="5">
        <v>620000</v>
      </c>
    </row>
    <row r="8" spans="1:5" ht="32" customHeight="1">
      <c r="A8" s="4" t="s">
        <v>123</v>
      </c>
      <c r="B8" s="8">
        <f>SUMIF('Покупки'!$B$5:$B$62,A8,'Покупки'!$I$5:$I$62)</f>
        <v>424680.0</v>
      </c>
      <c r="C8" s="8">
        <f>SUMIF('Покупки'!$B$5:$B$62,A8,'Покупки'!$J$5:$J$62)</f>
        <v>530850.0</v>
      </c>
      <c r="D8" s="8">
        <f>SUMIF('Покупки'!$B$5:$B$62,A8,'Покупки'!$K$5:$K$62)</f>
        <v>663562.5</v>
      </c>
      <c r="E8" s="5">
        <v>500000</v>
      </c>
    </row>
    <row r="9" spans="1:5" ht="32" customHeight="1">
      <c r="A9" s="4" t="s">
        <v>138</v>
      </c>
      <c r="B9" s="8">
        <f>SUMIF('Покупки'!$B$5:$B$62,A9,'Покупки'!$I$5:$I$62)</f>
        <v>444000</v>
      </c>
      <c r="C9" s="8">
        <f>SUMIF('Покупки'!$B$5:$B$62,A9,'Покупки'!$J$5:$J$62)</f>
        <v>555000</v>
      </c>
      <c r="D9" s="8">
        <f>SUMIF('Покупки'!$B$5:$B$62,A9,'Покупки'!$K$5:$K$62)</f>
        <v>693670</v>
      </c>
      <c r="E9" s="5">
        <v>500000</v>
      </c>
    </row>
    <row r="10" spans="1:5" ht="32" customHeight="1">
      <c r="A10" s="4" t="s">
        <v>154</v>
      </c>
      <c r="B10" s="8">
        <f>SUMIF('Покупки'!$B$5:$B$62,A10,'Покупки'!$I$5:$I$62)</f>
        <v>176000</v>
      </c>
      <c r="C10" s="8">
        <f>SUMIF('Покупки'!$B$5:$B$62,A10,'Покупки'!$J$5:$J$62)</f>
        <v>220000</v>
      </c>
      <c r="D10" s="8">
        <f>SUMIF('Покупки'!$B$5:$B$62,A10,'Покупки'!$K$5:$K$62)</f>
        <v>275000</v>
      </c>
      <c r="E10" s="5">
        <v>200000</v>
      </c>
    </row>
    <row r="11" spans="1:5" ht="32" customHeight="1">
      <c r="A11" s="4" t="s">
        <v>165</v>
      </c>
      <c r="B11" s="8">
        <f>SUMIF('Покупки'!$B$5:$B$62,A11,'Покупки'!$I$5:$I$62)</f>
        <v>416000</v>
      </c>
      <c r="C11" s="8">
        <f>SUMIF('Покупки'!$B$5:$B$62,A11,'Покупки'!$J$5:$J$62)</f>
        <v>520000</v>
      </c>
      <c r="D11" s="8">
        <f>SUMIF('Покупки'!$B$5:$B$62,A11,'Покупки'!$K$5:$K$62)</f>
        <v>650000</v>
      </c>
      <c r="E11" s="5">
        <v>450000</v>
      </c>
    </row>
    <row r="12" spans="1:5" ht="32" customHeight="1">
      <c r="A12" s="4" t="s">
        <v>180</v>
      </c>
      <c r="B12" s="8">
        <f>SUMIF('Покупки'!$B$5:$B$62,A12,'Покупки'!$I$5:$I$62)</f>
        <v>304000</v>
      </c>
      <c r="C12" s="8">
        <f>SUMIF('Покупки'!$B$5:$B$62,A12,'Покупки'!$J$5:$J$62)</f>
        <v>380000</v>
      </c>
      <c r="D12" s="8">
        <f>SUMIF('Покупки'!$B$5:$B$62,A12,'Покупки'!$K$5:$K$62)</f>
        <v>532000</v>
      </c>
      <c r="E12" s="5">
        <v>300000</v>
      </c>
    </row>
    <row r="13" spans="1:5" ht="32" customHeight="1">
      <c r="A13" s="4" t="s">
        <v>183</v>
      </c>
      <c r="B13" s="8">
        <f>SUMIF('Покупки'!$B$5:$B$62,A13,'Покупки'!$I$5:$I$62)</f>
        <v>1228500</v>
      </c>
      <c r="C13" s="8">
        <f>SUMIF('Покупки'!$B$5:$B$62,A13,'Покупки'!$J$5:$J$62)</f>
        <v>1495000</v>
      </c>
      <c r="D13" s="8">
        <f>SUMIF('Покупки'!$B$5:$B$62,A13,'Покупки'!$K$5:$K$62)</f>
        <v>1933750</v>
      </c>
      <c r="E13" s="5">
        <v>1050000</v>
      </c>
    </row>
    <row r="14" spans="1:5" ht="32" customHeight="1">
      <c r="A14" s="4" t="s">
        <v>200</v>
      </c>
      <c r="B14" s="8">
        <f>SUMIF('Покупки'!$B$5:$B$62,A14,'Покупки'!$I$5:$I$62)</f>
        <v>144000</v>
      </c>
      <c r="C14" s="8">
        <f>SUMIF('Покупки'!$B$5:$B$62,A14,'Покупки'!$J$5:$J$62)</f>
        <v>180000</v>
      </c>
      <c r="D14" s="8">
        <f>SUMIF('Покупки'!$B$5:$B$62,A14,'Покупки'!$K$5:$K$62)</f>
        <v>225000</v>
      </c>
      <c r="E14" s="5">
        <v>150000</v>
      </c>
    </row>
    <row r="15" spans="1:5">
      <c r="A15" s="3" t="s">
        <v>214</v>
      </c>
      <c r="B15" s="9">
        <f>SUM(B5:B14)</f>
        <v>6253740.0</v>
      </c>
      <c r="C15" s="9">
        <f>SUM(C5:C14)</f>
        <v>7264050.0</v>
      </c>
      <c r="D15" s="9">
        <f>SUM(D5:D14)</f>
        <v>8689482.5</v>
      </c>
      <c r="E15" s="9">
        <f>SUM(E5:E14)</f>
        <v>6300000</v>
      </c>
    </row>
    <row r="16" spans="1:5">
      <c r="A16" s="4" t="s">
        <v>9</v>
      </c>
      <c r="B16" s="8">
        <f>'Исходные'!$B$6</f>
        <v>700000</v>
      </c>
      <c r="C16" s="8">
        <f>'Исходные'!$B$6</f>
        <v>700000</v>
      </c>
      <c r="D16" s="8">
        <f>'Исходные'!$B$6</f>
        <v>700000</v>
      </c>
      <c r="E16" s="8">
        <f>'Исходные'!$B$6</f>
        <v>700000</v>
      </c>
    </row>
    <row r="17" spans="1:5">
      <c r="A17" s="3" t="s">
        <v>215</v>
      </c>
      <c r="B17" s="9">
        <f>B15+B16</f>
        <v>6953740.0</v>
      </c>
      <c r="C17" s="9">
        <f>C15+C16</f>
        <v>7964050.0</v>
      </c>
      <c r="D17" s="9">
        <f>D15+D16</f>
        <v>9389482.5</v>
      </c>
      <c r="E17" s="9">
        <f>E15+E16</f>
        <v>7000000</v>
      </c>
    </row>
    <row r="18" spans="1:5">
      <c r="A18" s="4" t="s">
        <v>216</v>
      </c>
      <c r="B18" s="9">
        <f>'Исходные'!$B$5-B17</f>
        <v>46260.0</v>
      </c>
      <c r="C18" s="9">
        <f>'Исходные'!$B$5-C17</f>
        <v>-964050.0</v>
      </c>
      <c r="D18" s="9">
        <f>'Исходные'!$B$5-D17</f>
        <v>-2389482.5</v>
      </c>
      <c r="E18" s="9">
        <f>'Исходные'!$B$5-E17</f>
        <v>0</v>
      </c>
    </row>
    <row r="20" spans="1:5">
      <c r="A20" s="2" t="s">
        <v>217</v>
      </c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</sheetData>
  <mergeCells count="3">
    <mergeCell ref="A1:E1"/>
    <mergeCell ref="A2:E3"/>
    <mergeCell ref="A20:E22"/>
  </mergeCells>
  <conditionalFormatting sqref="B18:E18">
    <cfRule type="cellIs" dxfId="0" priority="1" operator="lessThan">
      <formula>0</formula>
    </cfRule>
  </conditionalFormatting>
  <pageMargins left="0.3" right="0.3" top="0.4" bottom="0.4" header="0.3" footer="0.3"/>
  <pageSetup paperSize="9" fitToHeight="0" orientation="landscape"/>
  <headerFooter>
    <oddFooter>&amp;LСанды-кала 2 · 13.10.2026&amp;CПредварительно&amp;RСтраница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8.7109375" customWidth="1"/>
    <col min="2" max="2" width="20.7109375" customWidth="1"/>
    <col min="3" max="3" width="100.7109375" customWidth="1"/>
  </cols>
  <sheetData>
    <row r="1" spans="1:3">
      <c r="A1" s="1" t="s">
        <v>218</v>
      </c>
      <c r="B1" s="1"/>
      <c r="C1" s="1"/>
    </row>
    <row r="2" spans="1:3" ht="23" customHeight="1">
      <c r="A2" s="2" t="s">
        <v>219</v>
      </c>
      <c r="B2" s="2"/>
      <c r="C2" s="2"/>
    </row>
    <row r="3" spans="1:3" ht="22" customHeight="1">
      <c r="A3" s="2"/>
      <c r="B3" s="2"/>
      <c r="C3" s="2"/>
    </row>
    <row r="4" spans="1:3">
      <c r="A4" s="3" t="s">
        <v>220</v>
      </c>
      <c r="B4" s="3" t="s">
        <v>221</v>
      </c>
      <c r="C4" s="3" t="s">
        <v>222</v>
      </c>
    </row>
    <row r="5" spans="1:3" ht="60" customHeight="1">
      <c r="A5" s="4" t="s">
        <v>223</v>
      </c>
      <c r="B5" s="8">
        <v>436500</v>
      </c>
      <c r="C5" s="4" t="s">
        <v>224</v>
      </c>
    </row>
    <row r="6" spans="1:3" ht="60" customHeight="1">
      <c r="A6" s="4" t="s">
        <v>225</v>
      </c>
      <c r="B6" s="8">
        <v>550000</v>
      </c>
      <c r="C6" s="4" t="s">
        <v>226</v>
      </c>
    </row>
    <row r="7" spans="1:3" ht="60" customHeight="1">
      <c r="A7" s="4" t="s">
        <v>227</v>
      </c>
      <c r="B7" s="8">
        <v>190000</v>
      </c>
      <c r="C7" s="4" t="s">
        <v>228</v>
      </c>
    </row>
    <row r="8" spans="1:3" ht="60" customHeight="1">
      <c r="A8" s="4" t="s">
        <v>229</v>
      </c>
      <c r="B8" s="8">
        <v>24000</v>
      </c>
      <c r="C8" s="4" t="s">
        <v>230</v>
      </c>
    </row>
    <row r="9" spans="1:3" ht="60" customHeight="1">
      <c r="A9" s="4" t="s">
        <v>231</v>
      </c>
      <c r="B9" s="8">
        <v>12000</v>
      </c>
      <c r="C9" s="4" t="s">
        <v>232</v>
      </c>
    </row>
    <row r="10" spans="1:3" ht="60" customHeight="1">
      <c r="A10" s="4" t="s">
        <v>233</v>
      </c>
      <c r="B10" s="8">
        <v>249900</v>
      </c>
      <c r="C10" s="4" t="s">
        <v>234</v>
      </c>
    </row>
    <row r="11" spans="1:3" ht="60" customHeight="1">
      <c r="A11" s="4" t="s">
        <v>235</v>
      </c>
      <c r="B11" s="8">
        <v>-110000</v>
      </c>
      <c r="C11" s="4" t="s">
        <v>236</v>
      </c>
    </row>
    <row r="12" spans="1:3" ht="60" customHeight="1">
      <c r="A12" s="4" t="s">
        <v>237</v>
      </c>
      <c r="B12" s="4" t="s">
        <v>238</v>
      </c>
      <c r="C12" s="4" t="s">
        <v>239</v>
      </c>
    </row>
  </sheetData>
  <mergeCells count="2">
    <mergeCell ref="A1:C1"/>
    <mergeCell ref="A2:C3"/>
  </mergeCells>
  <pageMargins left="0.3" right="0.3" top="0.4" bottom="0.4" header="0.3" footer="0.3"/>
  <pageSetup paperSize="9" fitToHeight="0" orientation="landscape"/>
  <headerFooter>
    <oddFooter>&amp;LСанды-кала 2 · 13.10.2026&amp;CПредварительно&amp;RСтраница 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3" width="28.7109375" customWidth="1"/>
    <col min="4" max="4" width="85.7109375" customWidth="1"/>
  </cols>
  <sheetData>
    <row r="1" spans="1:4">
      <c r="A1" s="1" t="s">
        <v>240</v>
      </c>
      <c r="B1" s="1"/>
      <c r="C1" s="1"/>
      <c r="D1" s="1"/>
    </row>
    <row r="2" spans="1:4" ht="23" customHeight="1">
      <c r="A2" s="2" t="s">
        <v>241</v>
      </c>
      <c r="B2" s="2"/>
      <c r="C2" s="2"/>
      <c r="D2" s="2"/>
    </row>
    <row r="3" spans="1:4" ht="22" customHeight="1">
      <c r="A3" s="2"/>
      <c r="B3" s="2"/>
      <c r="C3" s="2"/>
      <c r="D3" s="2"/>
    </row>
    <row r="4" spans="1:4">
      <c r="A4" s="3" t="s">
        <v>242</v>
      </c>
      <c r="B4" s="3" t="s">
        <v>243</v>
      </c>
      <c r="C4" s="3" t="s">
        <v>244</v>
      </c>
      <c r="D4" s="3" t="s">
        <v>245</v>
      </c>
    </row>
    <row r="5" spans="1:4" ht="65" customHeight="1">
      <c r="A5" s="4" t="s">
        <v>246</v>
      </c>
      <c r="B5" s="4" t="s">
        <v>247</v>
      </c>
      <c r="C5" s="4" t="s">
        <v>248</v>
      </c>
      <c r="D5" s="4" t="s">
        <v>249</v>
      </c>
    </row>
    <row r="6" spans="1:4" ht="65" customHeight="1">
      <c r="A6" s="4" t="s">
        <v>250</v>
      </c>
      <c r="B6" s="4" t="s">
        <v>251</v>
      </c>
      <c r="C6" s="4" t="s">
        <v>252</v>
      </c>
      <c r="D6" s="4" t="s">
        <v>253</v>
      </c>
    </row>
    <row r="7" spans="1:4" ht="65" customHeight="1">
      <c r="A7" s="4" t="s">
        <v>254</v>
      </c>
      <c r="B7" s="4" t="s">
        <v>255</v>
      </c>
      <c r="C7" s="4" t="s">
        <v>256</v>
      </c>
      <c r="D7" s="4" t="s">
        <v>257</v>
      </c>
    </row>
    <row r="8" spans="1:4" ht="65" customHeight="1">
      <c r="A8" s="4" t="s">
        <v>258</v>
      </c>
      <c r="B8" s="4" t="s">
        <v>259</v>
      </c>
      <c r="C8" s="4" t="s">
        <v>260</v>
      </c>
      <c r="D8" s="4" t="s">
        <v>261</v>
      </c>
    </row>
    <row r="9" spans="1:4" ht="65" customHeight="1">
      <c r="A9" s="4" t="s">
        <v>262</v>
      </c>
      <c r="B9" s="4" t="s">
        <v>263</v>
      </c>
      <c r="C9" s="4" t="s">
        <v>264</v>
      </c>
      <c r="D9" s="4" t="s">
        <v>265</v>
      </c>
    </row>
    <row r="10" spans="1:4" ht="65" customHeight="1">
      <c r="A10" s="4" t="s">
        <v>266</v>
      </c>
      <c r="B10" s="4" t="s">
        <v>267</v>
      </c>
      <c r="C10" s="4" t="s">
        <v>268</v>
      </c>
      <c r="D10" s="4" t="s">
        <v>269</v>
      </c>
    </row>
    <row r="11" spans="1:4" ht="65" customHeight="1">
      <c r="A11" s="4" t="s">
        <v>270</v>
      </c>
      <c r="B11" s="4" t="s">
        <v>271</v>
      </c>
      <c r="C11" s="4" t="s">
        <v>272</v>
      </c>
      <c r="D11" s="4" t="s">
        <v>273</v>
      </c>
    </row>
    <row r="12" spans="1:4" ht="65" customHeight="1">
      <c r="A12" s="4" t="s">
        <v>274</v>
      </c>
      <c r="B12" s="4" t="s">
        <v>275</v>
      </c>
      <c r="C12" s="4" t="s">
        <v>276</v>
      </c>
      <c r="D12" s="4" t="s">
        <v>277</v>
      </c>
    </row>
  </sheetData>
  <mergeCells count="2">
    <mergeCell ref="A1:D1"/>
    <mergeCell ref="A2:D3"/>
  </mergeCells>
  <pageMargins left="0.3" right="0.3" top="0.4" bottom="0.4" header="0.3" footer="0.3"/>
  <pageSetup paperSize="9" fitToHeight="0" orientation="landscape"/>
  <headerFooter>
    <oddFooter>&amp;LСанды-кала 2 · 13.10.2026&amp;CПредварительно&amp;RСтраница 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45.7109375" customWidth="1"/>
    <col min="3" max="3" width="65.7109375" customWidth="1"/>
    <col min="4" max="4" width="46.7109375" customWidth="1"/>
  </cols>
  <sheetData>
    <row r="1" spans="1:4">
      <c r="A1" s="1" t="s">
        <v>278</v>
      </c>
      <c r="B1" s="1"/>
      <c r="C1" s="1"/>
      <c r="D1" s="1"/>
    </row>
    <row r="2" spans="1:4" ht="23" customHeight="1">
      <c r="A2" s="2" t="s">
        <v>279</v>
      </c>
      <c r="B2" s="2"/>
      <c r="C2" s="2"/>
      <c r="D2" s="2"/>
    </row>
    <row r="3" spans="1:4" ht="22" customHeight="1">
      <c r="A3" s="2"/>
      <c r="B3" s="2"/>
      <c r="C3" s="2"/>
      <c r="D3" s="2"/>
    </row>
    <row r="4" spans="1:4">
      <c r="A4" s="3" t="s">
        <v>280</v>
      </c>
      <c r="B4" s="3" t="s">
        <v>281</v>
      </c>
      <c r="C4" s="3" t="s">
        <v>282</v>
      </c>
      <c r="D4" s="3" t="s">
        <v>283</v>
      </c>
    </row>
    <row r="5" spans="1:4" ht="50" customHeight="1">
      <c r="A5" s="4" t="s">
        <v>284</v>
      </c>
      <c r="B5" s="4" t="s">
        <v>285</v>
      </c>
      <c r="C5" s="4" t="s">
        <v>286</v>
      </c>
      <c r="D5" s="4" t="s">
        <v>287</v>
      </c>
    </row>
    <row r="6" spans="1:4" ht="50" customHeight="1">
      <c r="A6" s="4" t="s">
        <v>288</v>
      </c>
      <c r="B6" s="4" t="s">
        <v>289</v>
      </c>
      <c r="C6" s="4" t="s">
        <v>290</v>
      </c>
      <c r="D6" s="4" t="s">
        <v>291</v>
      </c>
    </row>
    <row r="7" spans="1:4" ht="50" customHeight="1">
      <c r="A7" s="4" t="s">
        <v>292</v>
      </c>
      <c r="B7" s="4" t="s">
        <v>293</v>
      </c>
      <c r="C7" s="4" t="s">
        <v>294</v>
      </c>
      <c r="D7" s="4" t="s">
        <v>295</v>
      </c>
    </row>
    <row r="8" spans="1:4" ht="50" customHeight="1">
      <c r="A8" s="4" t="s">
        <v>296</v>
      </c>
      <c r="B8" s="10" t="s">
        <v>297</v>
      </c>
      <c r="C8" s="4" t="s">
        <v>298</v>
      </c>
      <c r="D8" s="4" t="s">
        <v>299</v>
      </c>
    </row>
    <row r="9" spans="1:4" ht="50" customHeight="1">
      <c r="A9" s="4" t="s">
        <v>296</v>
      </c>
      <c r="B9" s="10" t="s">
        <v>300</v>
      </c>
      <c r="C9" s="4" t="s">
        <v>301</v>
      </c>
      <c r="D9" s="4" t="s">
        <v>302</v>
      </c>
    </row>
    <row r="10" spans="1:4" ht="50" customHeight="1">
      <c r="A10" s="4" t="s">
        <v>296</v>
      </c>
      <c r="B10" s="10" t="s">
        <v>303</v>
      </c>
      <c r="C10" s="4" t="s">
        <v>301</v>
      </c>
      <c r="D10" s="4" t="s">
        <v>304</v>
      </c>
    </row>
    <row r="11" spans="1:4" ht="50" customHeight="1">
      <c r="A11" s="4" t="s">
        <v>305</v>
      </c>
      <c r="B11" s="10" t="s">
        <v>306</v>
      </c>
      <c r="C11" s="4" t="s">
        <v>301</v>
      </c>
      <c r="D11" s="4" t="s">
        <v>307</v>
      </c>
    </row>
    <row r="12" spans="1:4" ht="50" customHeight="1">
      <c r="A12" s="4" t="s">
        <v>308</v>
      </c>
      <c r="B12" s="4" t="s">
        <v>309</v>
      </c>
      <c r="C12" s="4" t="s">
        <v>301</v>
      </c>
      <c r="D12" s="4" t="s">
        <v>310</v>
      </c>
    </row>
    <row r="15" spans="1:4">
      <c r="A15" s="2" t="s">
        <v>311</v>
      </c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mergeCells count="3">
    <mergeCell ref="A1:D1"/>
    <mergeCell ref="A2:D3"/>
    <mergeCell ref="A15:D18"/>
  </mergeCells>
  <hyperlinks>
    <hyperlink ref="B8" r:id="rId1"/>
    <hyperlink ref="B9" r:id="rId2"/>
    <hyperlink ref="B10" r:id="rId3"/>
    <hyperlink ref="B11" r:id="rId4"/>
  </hyperlinks>
  <pageMargins left="0.3" right="0.3" top="0.4" bottom="0.4" header="0.3" footer="0.3"/>
  <pageSetup paperSize="9" fitToHeight="0" orientation="landscape"/>
  <headerFooter>
    <oddFooter>&amp;LСанды-кала 2 · 13.10.2026&amp;CПредварительно&amp;RСтраница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Исходные</vt:lpstr>
      <vt:lpstr>Покупки</vt:lpstr>
      <vt:lpstr>Итог</vt:lpstr>
      <vt:lpstr>Опции</vt:lpstr>
      <vt:lpstr>Инженерия</vt:lpstr>
      <vt:lpstr>Источники</vt:lpstr>
      <vt:lpstr>Покупки!Print_Area</vt:lpstr>
      <vt:lpstr>Инженерия!Print_Titles</vt:lpstr>
      <vt:lpstr>Источники!Print_Titles</vt:lpstr>
      <vt:lpstr>Исходные!Print_Titles</vt:lpstr>
      <vt:lpstr>Итог!Print_Titles</vt:lpstr>
      <vt:lpstr>Опции!Print_Titles</vt:lpstr>
      <vt:lpstr>Покупки!Print_Titles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Санды-кала 2: материалы и смета</dc:title>
  <dc:subject>Предварительные объёмы; товарные цены не проверены</dc:subject>
  <dc:creator>Design concept</dc:creator>
  <dc:description>13.10.2026; prices are planning assumptions, not verified retail quotes.</dc:description>
  <cp:lastModifiedBy>Design concept</cp:lastModifiedBy>
  <dcterms:created xsi:type="dcterms:W3CDTF">2026-10-13T11:19:27Z</dcterms:created>
  <dcterms:modified xsi:type="dcterms:W3CDTF">2026-10-13T11:19:27Z</dcterms:modified>
</cp:coreProperties>
</file>